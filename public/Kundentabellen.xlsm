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rene\Coding\kupple\public\"/>
    </mc:Choice>
  </mc:AlternateContent>
  <xr:revisionPtr revIDLastSave="0" documentId="13_ncr:1_{5360803E-EABB-4303-A20F-89C67178BE1A}" xr6:coauthVersionLast="47" xr6:coauthVersionMax="47" xr10:uidLastSave="{00000000-0000-0000-0000-000000000000}"/>
  <bookViews>
    <workbookView xWindow="-120" yWindow="-120" windowWidth="38640" windowHeight="21240" xr2:uid="{7F83F535-45AB-4941-B344-6B858A35E70A}"/>
  </bookViews>
  <sheets>
    <sheet name="Kundentabelle" sheetId="1" r:id="rId1"/>
    <sheet name="Mitarbeite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00" i="1" l="1"/>
  <c r="P200" i="1" s="1"/>
  <c r="N199" i="1"/>
  <c r="P199" i="1" s="1"/>
  <c r="N198" i="1"/>
  <c r="P198" i="1" s="1"/>
  <c r="N197" i="1"/>
  <c r="P197" i="1" s="1"/>
  <c r="N196" i="1"/>
  <c r="P196" i="1" s="1"/>
  <c r="N195" i="1"/>
  <c r="P195" i="1" s="1"/>
  <c r="N194" i="1"/>
  <c r="P194" i="1" s="1"/>
  <c r="N193" i="1"/>
  <c r="P193" i="1" s="1"/>
  <c r="N192" i="1"/>
  <c r="P192" i="1" s="1"/>
  <c r="N191" i="1"/>
  <c r="P191" i="1" s="1"/>
  <c r="N190" i="1"/>
  <c r="P190" i="1" s="1"/>
  <c r="N189" i="1"/>
  <c r="P189" i="1" s="1"/>
  <c r="N188" i="1"/>
  <c r="P188" i="1" s="1"/>
  <c r="N187" i="1"/>
  <c r="P187" i="1" s="1"/>
  <c r="N186" i="1"/>
  <c r="P186" i="1" s="1"/>
  <c r="N185" i="1"/>
  <c r="P185" i="1" s="1"/>
  <c r="N184" i="1"/>
  <c r="P184" i="1" s="1"/>
  <c r="N183" i="1"/>
  <c r="P183" i="1" s="1"/>
  <c r="N182" i="1"/>
  <c r="P182" i="1" s="1"/>
  <c r="N181" i="1"/>
  <c r="P181" i="1" s="1"/>
  <c r="N180" i="1"/>
  <c r="P180" i="1" s="1"/>
  <c r="N179" i="1"/>
  <c r="P179" i="1" s="1"/>
  <c r="N178" i="1"/>
  <c r="P178" i="1" s="1"/>
  <c r="N177" i="1"/>
  <c r="P177" i="1" s="1"/>
  <c r="N176" i="1"/>
  <c r="P176" i="1" s="1"/>
  <c r="N175" i="1"/>
  <c r="P175" i="1" s="1"/>
  <c r="N174" i="1"/>
  <c r="P174" i="1" s="1"/>
  <c r="N173" i="1"/>
  <c r="P173" i="1" s="1"/>
  <c r="N172" i="1"/>
  <c r="P172" i="1" s="1"/>
  <c r="N171" i="1"/>
  <c r="P171" i="1" s="1"/>
  <c r="N170" i="1"/>
  <c r="P170" i="1" s="1"/>
  <c r="N169" i="1"/>
  <c r="P169" i="1" s="1"/>
  <c r="N168" i="1"/>
  <c r="P168" i="1" s="1"/>
  <c r="N167" i="1"/>
  <c r="P167" i="1" s="1"/>
  <c r="N166" i="1"/>
  <c r="P166" i="1" s="1"/>
  <c r="N165" i="1"/>
  <c r="P165" i="1" s="1"/>
  <c r="N164" i="1"/>
  <c r="P164" i="1" s="1"/>
  <c r="N163" i="1"/>
  <c r="P163" i="1" s="1"/>
  <c r="N162" i="1"/>
  <c r="P162" i="1" s="1"/>
  <c r="N161" i="1"/>
  <c r="P161" i="1" s="1"/>
  <c r="N160" i="1"/>
  <c r="P160" i="1" s="1"/>
  <c r="N159" i="1"/>
  <c r="P159" i="1" s="1"/>
  <c r="N158" i="1"/>
  <c r="P158" i="1" s="1"/>
  <c r="N157" i="1"/>
  <c r="P157" i="1" s="1"/>
  <c r="N156" i="1"/>
  <c r="P156" i="1" s="1"/>
  <c r="N155" i="1"/>
  <c r="P155" i="1" s="1"/>
  <c r="N154" i="1"/>
  <c r="P154" i="1" s="1"/>
  <c r="N153" i="1"/>
  <c r="P153" i="1" s="1"/>
  <c r="N152" i="1"/>
  <c r="P152" i="1" s="1"/>
  <c r="N151" i="1"/>
  <c r="P151" i="1" s="1"/>
  <c r="N150" i="1"/>
  <c r="P150" i="1" s="1"/>
  <c r="N149" i="1"/>
  <c r="P149" i="1" s="1"/>
  <c r="N148" i="1"/>
  <c r="P148" i="1" s="1"/>
  <c r="N147" i="1"/>
  <c r="P147" i="1" s="1"/>
  <c r="N146" i="1"/>
  <c r="P146" i="1" s="1"/>
  <c r="N145" i="1"/>
  <c r="P145" i="1" s="1"/>
  <c r="N144" i="1"/>
  <c r="P144" i="1" s="1"/>
  <c r="N143" i="1"/>
  <c r="P143" i="1" s="1"/>
  <c r="N142" i="1"/>
  <c r="P142" i="1" s="1"/>
  <c r="N141" i="1"/>
  <c r="P141" i="1" s="1"/>
  <c r="N140" i="1"/>
  <c r="P140" i="1" s="1"/>
  <c r="N139" i="1"/>
  <c r="P139" i="1" s="1"/>
  <c r="N138" i="1"/>
  <c r="P138" i="1" s="1"/>
  <c r="N137" i="1"/>
  <c r="P137" i="1" s="1"/>
  <c r="N136" i="1"/>
  <c r="P136" i="1" s="1"/>
  <c r="N135" i="1"/>
  <c r="P135" i="1" s="1"/>
  <c r="N134" i="1"/>
  <c r="P134" i="1" s="1"/>
  <c r="N133" i="1"/>
  <c r="P133" i="1" s="1"/>
  <c r="N132" i="1"/>
  <c r="P132" i="1" s="1"/>
  <c r="N131" i="1"/>
  <c r="P131" i="1" s="1"/>
  <c r="N130" i="1"/>
  <c r="P130" i="1" s="1"/>
  <c r="N129" i="1"/>
  <c r="P129" i="1" s="1"/>
  <c r="N128" i="1"/>
  <c r="P128" i="1" s="1"/>
  <c r="N127" i="1"/>
  <c r="P127" i="1" s="1"/>
  <c r="N126" i="1"/>
  <c r="P126" i="1" s="1"/>
  <c r="N125" i="1"/>
  <c r="P125" i="1" s="1"/>
  <c r="N124" i="1"/>
  <c r="P124" i="1" s="1"/>
  <c r="N123" i="1"/>
  <c r="P123" i="1" s="1"/>
  <c r="N122" i="1"/>
  <c r="P122" i="1" s="1"/>
  <c r="N121" i="1"/>
  <c r="P121" i="1" s="1"/>
  <c r="N120" i="1"/>
  <c r="P120" i="1" s="1"/>
  <c r="N119" i="1"/>
  <c r="P119" i="1" s="1"/>
  <c r="N118" i="1"/>
  <c r="P118" i="1" s="1"/>
  <c r="N117" i="1"/>
  <c r="P117" i="1" s="1"/>
  <c r="N116" i="1"/>
  <c r="P116" i="1" s="1"/>
  <c r="N115" i="1"/>
  <c r="P115" i="1" s="1"/>
  <c r="N114" i="1"/>
  <c r="P114" i="1" s="1"/>
  <c r="N113" i="1"/>
  <c r="P113" i="1" s="1"/>
  <c r="N112" i="1"/>
  <c r="P112" i="1" s="1"/>
  <c r="N111" i="1"/>
  <c r="P111" i="1" s="1"/>
  <c r="N110" i="1"/>
  <c r="P110" i="1" s="1"/>
  <c r="N109" i="1"/>
  <c r="P109" i="1" s="1"/>
  <c r="N108" i="1"/>
  <c r="P108" i="1" s="1"/>
  <c r="N107" i="1"/>
  <c r="P107" i="1" s="1"/>
  <c r="N106" i="1"/>
  <c r="P106" i="1" s="1"/>
  <c r="N105" i="1"/>
  <c r="P105" i="1" s="1"/>
  <c r="N104" i="1"/>
  <c r="P104" i="1" s="1"/>
  <c r="N103" i="1"/>
  <c r="P103" i="1" s="1"/>
  <c r="N102" i="1"/>
  <c r="P102" i="1" s="1"/>
  <c r="N101" i="1"/>
  <c r="P101" i="1" s="1"/>
  <c r="N100" i="1"/>
  <c r="P100" i="1" s="1"/>
  <c r="N99" i="1"/>
  <c r="P99" i="1" s="1"/>
  <c r="N98" i="1"/>
  <c r="P98" i="1" s="1"/>
  <c r="N97" i="1"/>
  <c r="P97" i="1" s="1"/>
  <c r="N96" i="1"/>
  <c r="P96" i="1" s="1"/>
  <c r="N95" i="1"/>
  <c r="P95" i="1" s="1"/>
  <c r="N94" i="1"/>
  <c r="P94" i="1" s="1"/>
  <c r="N93" i="1"/>
  <c r="P93" i="1" s="1"/>
  <c r="N92" i="1"/>
  <c r="P92" i="1" s="1"/>
  <c r="N91" i="1"/>
  <c r="P91" i="1" s="1"/>
  <c r="N90" i="1"/>
  <c r="P90" i="1" s="1"/>
  <c r="N89" i="1"/>
  <c r="P89" i="1" s="1"/>
  <c r="N88" i="1"/>
  <c r="P88" i="1" s="1"/>
  <c r="N87" i="1"/>
  <c r="P87" i="1" s="1"/>
  <c r="N86" i="1"/>
  <c r="P86" i="1" s="1"/>
  <c r="N85" i="1"/>
  <c r="P85" i="1" s="1"/>
  <c r="N84" i="1"/>
  <c r="P84" i="1" s="1"/>
  <c r="N83" i="1"/>
  <c r="P83" i="1" s="1"/>
  <c r="N82" i="1"/>
  <c r="P82" i="1" s="1"/>
  <c r="N81" i="1"/>
  <c r="P81" i="1" s="1"/>
  <c r="N80" i="1"/>
  <c r="P80" i="1" s="1"/>
  <c r="N79" i="1"/>
  <c r="P79" i="1" s="1"/>
  <c r="N78" i="1"/>
  <c r="P78" i="1" s="1"/>
  <c r="N77" i="1"/>
  <c r="P77" i="1" s="1"/>
  <c r="N76" i="1"/>
  <c r="P76" i="1" s="1"/>
  <c r="N75" i="1"/>
  <c r="P75" i="1" s="1"/>
  <c r="N74" i="1"/>
  <c r="P74" i="1" s="1"/>
  <c r="N73" i="1"/>
  <c r="P73" i="1" s="1"/>
  <c r="N72" i="1"/>
  <c r="P72" i="1" s="1"/>
  <c r="N71" i="1"/>
  <c r="P71" i="1" s="1"/>
  <c r="N70" i="1"/>
  <c r="P70" i="1" s="1"/>
  <c r="N69" i="1"/>
  <c r="P69" i="1" s="1"/>
  <c r="N68" i="1"/>
  <c r="P68" i="1" s="1"/>
  <c r="N67" i="1"/>
  <c r="P67" i="1" s="1"/>
  <c r="N66" i="1"/>
  <c r="P66" i="1" s="1"/>
  <c r="N65" i="1"/>
  <c r="P65" i="1" s="1"/>
  <c r="N64" i="1"/>
  <c r="P64" i="1" s="1"/>
  <c r="N63" i="1"/>
  <c r="P63" i="1" s="1"/>
  <c r="N62" i="1"/>
  <c r="P62" i="1" s="1"/>
  <c r="N61" i="1"/>
  <c r="P61" i="1" s="1"/>
  <c r="N60" i="1"/>
  <c r="P60" i="1" s="1"/>
  <c r="N59" i="1"/>
  <c r="P59" i="1" s="1"/>
  <c r="N58" i="1"/>
  <c r="P58" i="1" s="1"/>
  <c r="N57" i="1"/>
  <c r="P57" i="1" s="1"/>
  <c r="N56" i="1"/>
  <c r="P56" i="1" s="1"/>
  <c r="N55" i="1"/>
  <c r="P55" i="1" s="1"/>
  <c r="N54" i="1"/>
  <c r="P54" i="1" s="1"/>
  <c r="N53" i="1"/>
  <c r="P53" i="1" s="1"/>
  <c r="N52" i="1"/>
  <c r="P52" i="1" s="1"/>
  <c r="N51" i="1"/>
  <c r="P51" i="1" s="1"/>
  <c r="N50" i="1"/>
  <c r="P50" i="1" s="1"/>
  <c r="N49" i="1"/>
  <c r="P49" i="1" s="1"/>
  <c r="N48" i="1"/>
  <c r="P48" i="1" s="1"/>
  <c r="N47" i="1"/>
  <c r="P47" i="1" s="1"/>
  <c r="P46" i="1"/>
  <c r="N45" i="1"/>
  <c r="P45" i="1" s="1"/>
  <c r="N44" i="1"/>
  <c r="P44" i="1" s="1"/>
  <c r="N43" i="1"/>
  <c r="P43" i="1" s="1"/>
  <c r="N42" i="1"/>
  <c r="P42" i="1" s="1"/>
  <c r="N41" i="1"/>
  <c r="P41" i="1" s="1"/>
  <c r="N40" i="1"/>
  <c r="P40" i="1" s="1"/>
  <c r="N39" i="1"/>
  <c r="P39" i="1" s="1"/>
  <c r="N38" i="1"/>
  <c r="P38" i="1" s="1"/>
  <c r="N37" i="1"/>
  <c r="P37" i="1" s="1"/>
  <c r="N36" i="1"/>
  <c r="P36" i="1" s="1"/>
  <c r="N35" i="1"/>
  <c r="P35" i="1" s="1"/>
  <c r="N34" i="1"/>
  <c r="P34" i="1" s="1"/>
  <c r="N33" i="1"/>
  <c r="P33" i="1" s="1"/>
  <c r="N32" i="1"/>
  <c r="P32" i="1" s="1"/>
  <c r="N31" i="1"/>
  <c r="P31" i="1" s="1"/>
  <c r="N30" i="1"/>
  <c r="P30" i="1" s="1"/>
  <c r="N29" i="1"/>
  <c r="P29" i="1" s="1"/>
  <c r="N28" i="1"/>
  <c r="P28" i="1" s="1"/>
  <c r="N27" i="1"/>
  <c r="P27" i="1" s="1"/>
  <c r="N26" i="1"/>
  <c r="P26" i="1" s="1"/>
  <c r="N25" i="1"/>
  <c r="P25" i="1" s="1"/>
  <c r="N24" i="1"/>
  <c r="P24" i="1" s="1"/>
  <c r="N23" i="1"/>
  <c r="P23" i="1" s="1"/>
  <c r="N22" i="1"/>
  <c r="P22" i="1" s="1"/>
  <c r="N21" i="1"/>
  <c r="P21" i="1" s="1"/>
  <c r="N20" i="1"/>
  <c r="P20" i="1" s="1"/>
  <c r="N19" i="1"/>
  <c r="P19" i="1" s="1"/>
  <c r="N18" i="1"/>
  <c r="P18" i="1" s="1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2" i="2"/>
  <c r="J3" i="2"/>
  <c r="J4" i="2"/>
  <c r="J5" i="2"/>
  <c r="N17" i="1"/>
  <c r="P17" i="1" s="1"/>
  <c r="N16" i="1"/>
  <c r="P16" i="1" s="1"/>
  <c r="N15" i="1"/>
  <c r="P15" i="1" s="1"/>
  <c r="N14" i="1"/>
  <c r="P14" i="1" s="1"/>
  <c r="N13" i="1"/>
  <c r="P13" i="1" s="1"/>
  <c r="N12" i="1"/>
  <c r="P12" i="1" s="1"/>
  <c r="N11" i="1"/>
  <c r="P11" i="1" s="1"/>
  <c r="N10" i="1"/>
  <c r="P10" i="1" s="1"/>
  <c r="N9" i="1"/>
  <c r="P9" i="1" s="1"/>
  <c r="N8" i="1"/>
  <c r="P8" i="1" s="1"/>
  <c r="N7" i="1"/>
  <c r="P7" i="1" s="1"/>
  <c r="N6" i="1"/>
  <c r="P6" i="1" s="1"/>
  <c r="N5" i="1"/>
  <c r="P5" i="1" s="1"/>
  <c r="N4" i="1"/>
  <c r="P4" i="1" s="1"/>
  <c r="N3" i="1"/>
  <c r="N2" i="1"/>
  <c r="P2" i="1" s="1"/>
  <c r="I29" i="2" s="1"/>
  <c r="H29" i="2" s="1"/>
  <c r="I24" i="2" l="1"/>
  <c r="H24" i="2" s="1"/>
  <c r="I19" i="2"/>
  <c r="H19" i="2" s="1"/>
  <c r="I25" i="2"/>
  <c r="H25" i="2" s="1"/>
  <c r="I31" i="2"/>
  <c r="H31" i="2" s="1"/>
  <c r="I30" i="2"/>
  <c r="H30" i="2" s="1"/>
  <c r="I8" i="2"/>
  <c r="H8" i="2" s="1"/>
  <c r="I14" i="2"/>
  <c r="H14" i="2" s="1"/>
  <c r="I20" i="2"/>
  <c r="H20" i="2" s="1"/>
  <c r="I5" i="2"/>
  <c r="H5" i="2" s="1"/>
  <c r="I15" i="2"/>
  <c r="H15" i="2" s="1"/>
  <c r="I21" i="2"/>
  <c r="H21" i="2" s="1"/>
  <c r="I26" i="2"/>
  <c r="H26" i="2" s="1"/>
  <c r="I32" i="2"/>
  <c r="H32" i="2" s="1"/>
  <c r="I13" i="2"/>
  <c r="H13" i="2" s="1"/>
  <c r="I9" i="2"/>
  <c r="H9" i="2" s="1"/>
  <c r="I4" i="2"/>
  <c r="H4" i="2" s="1"/>
  <c r="I27" i="2"/>
  <c r="H27" i="2" s="1"/>
  <c r="I33" i="2"/>
  <c r="H33" i="2" s="1"/>
  <c r="I7" i="2"/>
  <c r="H7" i="2" s="1"/>
  <c r="I3" i="2"/>
  <c r="H3" i="2" s="1"/>
  <c r="I10" i="2"/>
  <c r="H10" i="2" s="1"/>
  <c r="I16" i="2"/>
  <c r="H16" i="2" s="1"/>
  <c r="I22" i="2"/>
  <c r="H22" i="2" s="1"/>
  <c r="I28" i="2"/>
  <c r="H28" i="2" s="1"/>
  <c r="I17" i="2"/>
  <c r="H17" i="2" s="1"/>
  <c r="I23" i="2"/>
  <c r="H23" i="2" s="1"/>
  <c r="I34" i="2"/>
  <c r="H34" i="2" s="1"/>
  <c r="I18" i="2"/>
  <c r="H18" i="2" s="1"/>
  <c r="I11" i="2"/>
  <c r="H11" i="2" s="1"/>
  <c r="I6" i="2"/>
  <c r="H6" i="2" s="1"/>
  <c r="I12" i="2"/>
  <c r="H12" i="2" s="1"/>
  <c r="I35" i="2"/>
  <c r="H35" i="2" s="1"/>
  <c r="I2" i="2"/>
  <c r="H2" i="2" s="1"/>
</calcChain>
</file>

<file path=xl/sharedStrings.xml><?xml version="1.0" encoding="utf-8"?>
<sst xmlns="http://schemas.openxmlformats.org/spreadsheetml/2006/main" count="1449" uniqueCount="768">
  <si>
    <t>Straße</t>
  </si>
  <si>
    <t>PLZ</t>
  </si>
  <si>
    <t>Versicherungsnummer</t>
  </si>
  <si>
    <t>Mitarbeiter</t>
  </si>
  <si>
    <t>Gutstunden</t>
  </si>
  <si>
    <t>Notiz</t>
  </si>
  <si>
    <t>Tel.:</t>
  </si>
  <si>
    <t>Geb.</t>
  </si>
  <si>
    <t>Mitarbeitenummer</t>
  </si>
  <si>
    <t>Name</t>
  </si>
  <si>
    <t>Vorname</t>
  </si>
  <si>
    <t>Ort</t>
  </si>
  <si>
    <t>Tel.</t>
  </si>
  <si>
    <t>Anzahl Kunden</t>
  </si>
  <si>
    <t>Stunden Insgesamt</t>
  </si>
  <si>
    <t>Status</t>
  </si>
  <si>
    <t>Manuell</t>
  </si>
  <si>
    <t>Aktiv</t>
  </si>
  <si>
    <t>Name komplett</t>
  </si>
  <si>
    <t>Monatsstunden</t>
  </si>
  <si>
    <t>Unger</t>
  </si>
  <si>
    <t>Sabine</t>
  </si>
  <si>
    <t xml:space="preserve">Kreuweg 2 </t>
  </si>
  <si>
    <t>Mücke</t>
  </si>
  <si>
    <t>06400-200585</t>
  </si>
  <si>
    <t>Kern</t>
  </si>
  <si>
    <t>Alexandra</t>
  </si>
  <si>
    <t>Bienengasse 10</t>
  </si>
  <si>
    <t>01522-9480883</t>
  </si>
  <si>
    <t>Westphal</t>
  </si>
  <si>
    <t>Laura</t>
  </si>
  <si>
    <t>Höckersdorfer Weg 2</t>
  </si>
  <si>
    <t>0159-01895151</t>
  </si>
  <si>
    <t>Email</t>
  </si>
  <si>
    <t>westphal.laura@mail.de</t>
  </si>
  <si>
    <t>kern.alexandra@yahoo.de</t>
  </si>
  <si>
    <t>inez.unger@online.de</t>
  </si>
  <si>
    <t>Meß</t>
  </si>
  <si>
    <t>Michaela</t>
  </si>
  <si>
    <t>Bergstraße 23</t>
  </si>
  <si>
    <t>Wettenberg</t>
  </si>
  <si>
    <t>01520-1781728</t>
  </si>
  <si>
    <t>Bayer-Kratz</t>
  </si>
  <si>
    <t>Anja</t>
  </si>
  <si>
    <t>Bismarckstr. 39</t>
  </si>
  <si>
    <t>Grünberg</t>
  </si>
  <si>
    <t>0151-11192620</t>
  </si>
  <si>
    <t>anjareitz@yahoo.com</t>
  </si>
  <si>
    <t>Kratz</t>
  </si>
  <si>
    <t>Peter</t>
  </si>
  <si>
    <t>Amselweg 5</t>
  </si>
  <si>
    <t>0151-21111133</t>
  </si>
  <si>
    <t>sibyllepeterkratz@t-online.de</t>
  </si>
  <si>
    <t>Becker</t>
  </si>
  <si>
    <t>Hannah Elisa</t>
  </si>
  <si>
    <t xml:space="preserve">Untergasse 7 </t>
  </si>
  <si>
    <t>Untergasse 30</t>
  </si>
  <si>
    <t>0173-6846597</t>
  </si>
  <si>
    <t>hannahruehl@aol.com</t>
  </si>
  <si>
    <t>Jantosca</t>
  </si>
  <si>
    <t>Lyn Ulrike</t>
  </si>
  <si>
    <t>Grubenstraße 2</t>
  </si>
  <si>
    <t>0173-3288277</t>
  </si>
  <si>
    <t>lyn.artemis@web.de</t>
  </si>
  <si>
    <t>Druschel</t>
  </si>
  <si>
    <t>Andrea</t>
  </si>
  <si>
    <t>Gartenstraße 15</t>
  </si>
  <si>
    <t>0170-8392585</t>
  </si>
  <si>
    <t>druschel.andrea@freenet.de</t>
  </si>
  <si>
    <t>Sinn</t>
  </si>
  <si>
    <t>Astrid</t>
  </si>
  <si>
    <t>Gartenstraße 29</t>
  </si>
  <si>
    <t>0173-4428111</t>
  </si>
  <si>
    <t>sinnastrid@web.de</t>
  </si>
  <si>
    <t>Kuplewatzky</t>
  </si>
  <si>
    <t>Julian</t>
  </si>
  <si>
    <t>Leipziger Str.15</t>
  </si>
  <si>
    <t>Linden</t>
  </si>
  <si>
    <t>0172-2356944</t>
  </si>
  <si>
    <t>julian-kuplewatzky@web.de</t>
  </si>
  <si>
    <t>Merita</t>
  </si>
  <si>
    <t>Glockwiesenweg 11</t>
  </si>
  <si>
    <t>0172-6724586</t>
  </si>
  <si>
    <t>andreamerita@gmx.de</t>
  </si>
  <si>
    <t>50 Euro Kraft</t>
  </si>
  <si>
    <t>Börger-Engel</t>
  </si>
  <si>
    <t>Silke</t>
  </si>
  <si>
    <t>Torwiesenstraße 15</t>
  </si>
  <si>
    <t>0173-6445810</t>
  </si>
  <si>
    <t>s-l.engel@t-online.de</t>
  </si>
  <si>
    <t>50 Kraft</t>
  </si>
  <si>
    <t>Altensen</t>
  </si>
  <si>
    <t>Birgit</t>
  </si>
  <si>
    <t>Kreuzweg 21</t>
  </si>
  <si>
    <t>Straße + HN</t>
  </si>
  <si>
    <t>06400-1433</t>
  </si>
  <si>
    <t>Arnold</t>
  </si>
  <si>
    <t>Persita</t>
  </si>
  <si>
    <t>Sudetenlandstraße 3</t>
  </si>
  <si>
    <t>Londorf-Rabenau</t>
  </si>
  <si>
    <t>06407-7278</t>
  </si>
  <si>
    <t>Bayer</t>
  </si>
  <si>
    <t>Christa</t>
  </si>
  <si>
    <t>Appelstr. 3</t>
  </si>
  <si>
    <t>06401-2295790</t>
  </si>
  <si>
    <t>Bechthold</t>
  </si>
  <si>
    <t>Hauptstraße 32</t>
  </si>
  <si>
    <t>06400-9082319</t>
  </si>
  <si>
    <t>Bell</t>
  </si>
  <si>
    <t>Jonas</t>
  </si>
  <si>
    <t>Schlossgasse 11</t>
  </si>
  <si>
    <t>06400-9582136</t>
  </si>
  <si>
    <t>G070096382</t>
  </si>
  <si>
    <t>W713919946</t>
  </si>
  <si>
    <t>X310449931</t>
  </si>
  <si>
    <t>Y684740934</t>
  </si>
  <si>
    <t>Berst</t>
  </si>
  <si>
    <t>Heinz</t>
  </si>
  <si>
    <t>Glaubrechtstr. 12</t>
  </si>
  <si>
    <t>Londorf</t>
  </si>
  <si>
    <t>A088402934</t>
  </si>
  <si>
    <t>06407-7566</t>
  </si>
  <si>
    <t>Bierau</t>
  </si>
  <si>
    <t>Erika</t>
  </si>
  <si>
    <t>Hainerweg 17a</t>
  </si>
  <si>
    <t>0160-96833684</t>
  </si>
  <si>
    <t>V136115193</t>
  </si>
  <si>
    <t>Ingeborg</t>
  </si>
  <si>
    <t>Börger</t>
  </si>
  <si>
    <t>Sieglinde</t>
  </si>
  <si>
    <t>Torwiesenstr. 22</t>
  </si>
  <si>
    <t>06400-7220</t>
  </si>
  <si>
    <t>G534187359</t>
  </si>
  <si>
    <t>Brown</t>
  </si>
  <si>
    <t>Patricia-Margaret</t>
  </si>
  <si>
    <t>0151-22742221</t>
  </si>
  <si>
    <t>E860587525</t>
  </si>
  <si>
    <t>Brunhilde</t>
  </si>
  <si>
    <t>Dorfstraße 31</t>
  </si>
  <si>
    <t>Grünberg-Lumda</t>
  </si>
  <si>
    <t>K689182100</t>
  </si>
  <si>
    <t>06401-8307</t>
  </si>
  <si>
    <t xml:space="preserve">Emmerich </t>
  </si>
  <si>
    <t>Am Biengarten 12</t>
  </si>
  <si>
    <t>0179-1037819 (Tochter)</t>
  </si>
  <si>
    <t>T286056575</t>
  </si>
  <si>
    <t>Engel</t>
  </si>
  <si>
    <t>Til</t>
  </si>
  <si>
    <t>06400-200537</t>
  </si>
  <si>
    <t>Y620822691</t>
  </si>
  <si>
    <t>Eise</t>
  </si>
  <si>
    <t>Reinholdine</t>
  </si>
  <si>
    <t>Jahnstraße 9</t>
  </si>
  <si>
    <t>06404-7514</t>
  </si>
  <si>
    <t>V571956194</t>
  </si>
  <si>
    <t xml:space="preserve">Frühsorger </t>
  </si>
  <si>
    <t>Elvira</t>
  </si>
  <si>
    <t>Kurt-Schuhmacher Str. 15</t>
  </si>
  <si>
    <t>06401-2284663</t>
  </si>
  <si>
    <t>Y762811308</t>
  </si>
  <si>
    <t>Giebisch</t>
  </si>
  <si>
    <t>Marlene</t>
  </si>
  <si>
    <t>Hainbacherstr. 12</t>
  </si>
  <si>
    <t>Staufenberg</t>
  </si>
  <si>
    <t>06406-3679</t>
  </si>
  <si>
    <t>L334732430</t>
  </si>
  <si>
    <t>Hainbach</t>
  </si>
  <si>
    <t>Am Sonnenhang 20</t>
  </si>
  <si>
    <t>Reiskirchen-Bersrod</t>
  </si>
  <si>
    <t>06408-63759</t>
  </si>
  <si>
    <t>T279936130</t>
  </si>
  <si>
    <t>Edith</t>
  </si>
  <si>
    <t>Klaus</t>
  </si>
  <si>
    <t>H570246109</t>
  </si>
  <si>
    <t>Heinstein</t>
  </si>
  <si>
    <t>Paul</t>
  </si>
  <si>
    <t>Marburger Str. 27</t>
  </si>
  <si>
    <t>0641-35442</t>
  </si>
  <si>
    <t>O600013790</t>
  </si>
  <si>
    <t>Mechthild</t>
  </si>
  <si>
    <t>Posenerstr. 3</t>
  </si>
  <si>
    <t>06401-220816</t>
  </si>
  <si>
    <t>F318778359</t>
  </si>
  <si>
    <t>Hoff</t>
  </si>
  <si>
    <t>Anna</t>
  </si>
  <si>
    <t>Grabenstr. 13</t>
  </si>
  <si>
    <t>Buseck-Oppenrod</t>
  </si>
  <si>
    <t>06408-1860</t>
  </si>
  <si>
    <t>X128260155</t>
  </si>
  <si>
    <t>Günter</t>
  </si>
  <si>
    <t>O040140653</t>
  </si>
  <si>
    <t>Hopp</t>
  </si>
  <si>
    <t>Erhard</t>
  </si>
  <si>
    <t>Amselweg 6</t>
  </si>
  <si>
    <t>06400-1222</t>
  </si>
  <si>
    <t>Horn</t>
  </si>
  <si>
    <t>Gerhard</t>
  </si>
  <si>
    <t>Hohler Weg 16</t>
  </si>
  <si>
    <t>Lich</t>
  </si>
  <si>
    <t>06404-2337</t>
  </si>
  <si>
    <t>K141.703/9</t>
  </si>
  <si>
    <t>Hühn</t>
  </si>
  <si>
    <t>Tony</t>
  </si>
  <si>
    <t>Dresdnerstr. 7</t>
  </si>
  <si>
    <t>Fernwald- Steinbach</t>
  </si>
  <si>
    <t>0179-6144543</t>
  </si>
  <si>
    <t>X773787142</t>
  </si>
  <si>
    <t>Levy</t>
  </si>
  <si>
    <t>A499730560</t>
  </si>
  <si>
    <t>Jilg</t>
  </si>
  <si>
    <t>Marianne</t>
  </si>
  <si>
    <t>Elpenröderstr.13</t>
  </si>
  <si>
    <t>Gemünden</t>
  </si>
  <si>
    <t>06634-918836</t>
  </si>
  <si>
    <t>L903219607</t>
  </si>
  <si>
    <t>Katzer</t>
  </si>
  <si>
    <t>Gerdi</t>
  </si>
  <si>
    <t>Obergasse 7</t>
  </si>
  <si>
    <t>Mücke, Nieder Ohmen</t>
  </si>
  <si>
    <t>06400-951389</t>
  </si>
  <si>
    <t>M060525915</t>
  </si>
  <si>
    <t>Ilona</t>
  </si>
  <si>
    <t>Am Schellsberg 2</t>
  </si>
  <si>
    <t>06400-1202</t>
  </si>
  <si>
    <t>O514806080</t>
  </si>
  <si>
    <t>Kurt</t>
  </si>
  <si>
    <t>Y807358858</t>
  </si>
  <si>
    <t>06400-6315</t>
  </si>
  <si>
    <t>Z862401527</t>
  </si>
  <si>
    <t>Krombach</t>
  </si>
  <si>
    <t>Klaus-Jürgen</t>
  </si>
  <si>
    <t>Grundweg 4</t>
  </si>
  <si>
    <t>06044-3081</t>
  </si>
  <si>
    <t>D270086715</t>
  </si>
  <si>
    <t>Angelika</t>
  </si>
  <si>
    <t>T081343943</t>
  </si>
  <si>
    <t>Kuntermann</t>
  </si>
  <si>
    <t>Adolf</t>
  </si>
  <si>
    <t>Am Steinköppel 15</t>
  </si>
  <si>
    <t>Grünberg-Beltershain</t>
  </si>
  <si>
    <t>0151-67701477</t>
  </si>
  <si>
    <t>Q386112694</t>
  </si>
  <si>
    <t xml:space="preserve">Lepper </t>
  </si>
  <si>
    <t>Helga</t>
  </si>
  <si>
    <t>Friedensstraße 3</t>
  </si>
  <si>
    <t>Buseck</t>
  </si>
  <si>
    <t>06408-2803</t>
  </si>
  <si>
    <t>P350725350</t>
  </si>
  <si>
    <t>Willi</t>
  </si>
  <si>
    <t>Wilhelm</t>
  </si>
  <si>
    <t xml:space="preserve">Auf dem Stein 3a </t>
  </si>
  <si>
    <t xml:space="preserve"> Mücke</t>
  </si>
  <si>
    <t>06400-919833</t>
  </si>
  <si>
    <t>H088532366</t>
  </si>
  <si>
    <t>Löffler</t>
  </si>
  <si>
    <t>Joachim</t>
  </si>
  <si>
    <t>Gartfeld 21a</t>
  </si>
  <si>
    <t>Giessen</t>
  </si>
  <si>
    <t>0641-43058</t>
  </si>
  <si>
    <t>H000553605</t>
  </si>
  <si>
    <t>Lulei</t>
  </si>
  <si>
    <t>Franz</t>
  </si>
  <si>
    <t>Am Rommel 11</t>
  </si>
  <si>
    <t>Buseck, Alten-Buseck</t>
  </si>
  <si>
    <t>06408-3560</t>
  </si>
  <si>
    <t>G679179231</t>
  </si>
  <si>
    <t>Menz</t>
  </si>
  <si>
    <t>Unterstruth 32</t>
  </si>
  <si>
    <t>06408-3816</t>
  </si>
  <si>
    <t>A669106688</t>
  </si>
  <si>
    <t>Veronika</t>
  </si>
  <si>
    <t>Launsbacher Weg 51c</t>
  </si>
  <si>
    <t>Gießen</t>
  </si>
  <si>
    <t>0641-83119</t>
  </si>
  <si>
    <t>P858028253</t>
  </si>
  <si>
    <t>Pfaff</t>
  </si>
  <si>
    <t>Ursula</t>
  </si>
  <si>
    <t>Braugasse 1</t>
  </si>
  <si>
    <t>0641-96959575</t>
  </si>
  <si>
    <t>Z089555616</t>
  </si>
  <si>
    <t>Reeh</t>
  </si>
  <si>
    <t>Hans</t>
  </si>
  <si>
    <t>Lindenstr. 5</t>
  </si>
  <si>
    <t>0641-81700</t>
  </si>
  <si>
    <t>S441161104</t>
  </si>
  <si>
    <t>Rehwald</t>
  </si>
  <si>
    <t>Irmtraud</t>
  </si>
  <si>
    <t>06400-1060</t>
  </si>
  <si>
    <t>Reinhardt</t>
  </si>
  <si>
    <t>Königsberger Str. 15</t>
  </si>
  <si>
    <t>06406-73751</t>
  </si>
  <si>
    <t>U770538767</t>
  </si>
  <si>
    <t>Rinsland</t>
  </si>
  <si>
    <t xml:space="preserve"> Monika</t>
  </si>
  <si>
    <t>Am Sonnenhang 37</t>
  </si>
  <si>
    <t>06408-969901</t>
  </si>
  <si>
    <t>V745358067</t>
  </si>
  <si>
    <t xml:space="preserve">Röhrseim </t>
  </si>
  <si>
    <t>Eveline</t>
  </si>
  <si>
    <t>Fahnbachstraße 45a</t>
  </si>
  <si>
    <t>0641-81651</t>
  </si>
  <si>
    <t>Z450098083</t>
  </si>
  <si>
    <t>Rühl</t>
  </si>
  <si>
    <t>Lotta</t>
  </si>
  <si>
    <t>Gartenstraße 26</t>
  </si>
  <si>
    <t>Fernwald</t>
  </si>
  <si>
    <t>0174-3123642</t>
  </si>
  <si>
    <t>C173914395</t>
  </si>
  <si>
    <t>Sann</t>
  </si>
  <si>
    <t>Gisela</t>
  </si>
  <si>
    <t>06400-8748</t>
  </si>
  <si>
    <t>Y957715045</t>
  </si>
  <si>
    <t>Schäfer</t>
  </si>
  <si>
    <t>Inge</t>
  </si>
  <si>
    <t>Gießener Str.87</t>
  </si>
  <si>
    <t>Lollar</t>
  </si>
  <si>
    <t>06406-9097637</t>
  </si>
  <si>
    <t>Q505574242</t>
  </si>
  <si>
    <t>Schlosser</t>
  </si>
  <si>
    <t>Ludwig</t>
  </si>
  <si>
    <t>Kirschgarten 13</t>
  </si>
  <si>
    <t>06400-8207</t>
  </si>
  <si>
    <t>S544692027</t>
  </si>
  <si>
    <t>Schubach</t>
  </si>
  <si>
    <t>Horst</t>
  </si>
  <si>
    <t xml:space="preserve">Forststr. 6 </t>
  </si>
  <si>
    <t>06400-6722</t>
  </si>
  <si>
    <t>Petra</t>
  </si>
  <si>
    <t>V607983014</t>
  </si>
  <si>
    <t>Schwarzmann</t>
  </si>
  <si>
    <t>Renate</t>
  </si>
  <si>
    <t>Rosenweg 4</t>
  </si>
  <si>
    <t>06404-6506519</t>
  </si>
  <si>
    <t>G537973714</t>
  </si>
  <si>
    <t>Seim</t>
  </si>
  <si>
    <t>Anita</t>
  </si>
  <si>
    <t>Lumdastr. 15</t>
  </si>
  <si>
    <t>06401-1290</t>
  </si>
  <si>
    <t>O571821600</t>
  </si>
  <si>
    <t>Ringstraße 24</t>
  </si>
  <si>
    <t>0173-8611157</t>
  </si>
  <si>
    <t>Y868533329</t>
  </si>
  <si>
    <t>Werner</t>
  </si>
  <si>
    <t>J321045853</t>
  </si>
  <si>
    <t>Simon</t>
  </si>
  <si>
    <t>Hans-Jürgen</t>
  </si>
  <si>
    <t>Atzenhainerstr. 2</t>
  </si>
  <si>
    <t>06401-8280</t>
  </si>
  <si>
    <t>C387260573</t>
  </si>
  <si>
    <t>Stefana</t>
  </si>
  <si>
    <t>Victoria</t>
  </si>
  <si>
    <t>Bismarckstr. 41</t>
  </si>
  <si>
    <t>0162-4580709</t>
  </si>
  <si>
    <t>X018198921</t>
  </si>
  <si>
    <t>Stumpf</t>
  </si>
  <si>
    <t>Ferdinand</t>
  </si>
  <si>
    <t>Grünberger Str. 53</t>
  </si>
  <si>
    <t>Reiskirchen</t>
  </si>
  <si>
    <t>06408-549491</t>
  </si>
  <si>
    <t>K978664646</t>
  </si>
  <si>
    <t>Doris</t>
  </si>
  <si>
    <t>Q965098391</t>
  </si>
  <si>
    <t>Theiß</t>
  </si>
  <si>
    <t>Margot</t>
  </si>
  <si>
    <t>Schulstraße 9</t>
  </si>
  <si>
    <t>06401-2282948</t>
  </si>
  <si>
    <t>D800019386</t>
  </si>
  <si>
    <t>Töllich</t>
  </si>
  <si>
    <t>Oskar</t>
  </si>
  <si>
    <t>Ofenberg 7</t>
  </si>
  <si>
    <t>06401-7432</t>
  </si>
  <si>
    <t>S148986680</t>
  </si>
  <si>
    <t>Thorsten</t>
  </si>
  <si>
    <t>0173-9462371</t>
  </si>
  <si>
    <t>F148494120</t>
  </si>
  <si>
    <t>Weitzel</t>
  </si>
  <si>
    <t>Tilly</t>
  </si>
  <si>
    <t>Alsfelderstr. 23</t>
  </si>
  <si>
    <t>Feldatal</t>
  </si>
  <si>
    <t>06637-547</t>
  </si>
  <si>
    <t>U844868459</t>
  </si>
  <si>
    <t>Wilson</t>
  </si>
  <si>
    <t>Waldtraud</t>
  </si>
  <si>
    <t>Westrain 4</t>
  </si>
  <si>
    <t>06408-5037195</t>
  </si>
  <si>
    <t>H909651676</t>
  </si>
  <si>
    <t>Winter</t>
  </si>
  <si>
    <t>Ernst</t>
  </si>
  <si>
    <t>An der Ziegelhütte 34</t>
  </si>
  <si>
    <t>0641-9805513</t>
  </si>
  <si>
    <t>F722939666</t>
  </si>
  <si>
    <t>Wißner</t>
  </si>
  <si>
    <t>Odenhäuser Str. 8</t>
  </si>
  <si>
    <t>Rabenau</t>
  </si>
  <si>
    <t>0170-8146070</t>
  </si>
  <si>
    <t>X973427709</t>
  </si>
  <si>
    <t>Ziegler</t>
  </si>
  <si>
    <t>Joyce</t>
  </si>
  <si>
    <t>Kalpingstr. 16</t>
  </si>
  <si>
    <t>06400-957947</t>
  </si>
  <si>
    <t>J607456430</t>
  </si>
  <si>
    <t>Sabine Unger</t>
  </si>
  <si>
    <t>Anja Bayer-Kratz</t>
  </si>
  <si>
    <t>Laura Westphal</t>
  </si>
  <si>
    <t>Michaela Meß</t>
  </si>
  <si>
    <t>Silke Börger-Engel</t>
  </si>
  <si>
    <t>Andrea Druschel</t>
  </si>
  <si>
    <t>Astrid Sinn</t>
  </si>
  <si>
    <t>Hannah Elisa Becker</t>
  </si>
  <si>
    <t>Andrea Merita</t>
  </si>
  <si>
    <t>Julian Kuplewatzky</t>
  </si>
  <si>
    <t>Alexandra Kern</t>
  </si>
  <si>
    <t>Lyn Ulrike Jantosca</t>
  </si>
  <si>
    <t>50 Euro</t>
  </si>
  <si>
    <t>Hans-Joachim</t>
  </si>
  <si>
    <t>Talstraße 9</t>
  </si>
  <si>
    <t>06634-658</t>
  </si>
  <si>
    <t>Y744474942</t>
  </si>
  <si>
    <t>Steinweg 9</t>
  </si>
  <si>
    <t>Ulrichstein</t>
  </si>
  <si>
    <t>06645-8795</t>
  </si>
  <si>
    <t>Y777872303</t>
  </si>
  <si>
    <t>Sevik</t>
  </si>
  <si>
    <t>Anny</t>
  </si>
  <si>
    <t>06400-7721</t>
  </si>
  <si>
    <t>T198204204</t>
  </si>
  <si>
    <t>Prehn</t>
  </si>
  <si>
    <t>Londorfer Str. 26a</t>
  </si>
  <si>
    <t>06401-6218</t>
  </si>
  <si>
    <t>I364592989</t>
  </si>
  <si>
    <t>Rattler</t>
  </si>
  <si>
    <t>Wiesenstr. 23</t>
  </si>
  <si>
    <t>06407-950976</t>
  </si>
  <si>
    <t>V609084425</t>
  </si>
  <si>
    <t>Schröder</t>
  </si>
  <si>
    <t>Kerstin</t>
  </si>
  <si>
    <t>Ziegelberg 16</t>
  </si>
  <si>
    <t>Buseck-Beuern</t>
  </si>
  <si>
    <t>0152-34530450</t>
  </si>
  <si>
    <t>B456656499</t>
  </si>
  <si>
    <t>Balser</t>
  </si>
  <si>
    <t>Friedrich</t>
  </si>
  <si>
    <t>Am Strauch 9</t>
  </si>
  <si>
    <t>0172-8891504</t>
  </si>
  <si>
    <t>R482920812</t>
  </si>
  <si>
    <t>Rahn</t>
  </si>
  <si>
    <t>Ottilie</t>
  </si>
  <si>
    <t>Vogelsberg Str. 7</t>
  </si>
  <si>
    <t>Laubach</t>
  </si>
  <si>
    <t>06044-2952</t>
  </si>
  <si>
    <t>P956308217</t>
  </si>
  <si>
    <t>Fuchs</t>
  </si>
  <si>
    <t>Norbert</t>
  </si>
  <si>
    <t>Heegweg 11</t>
  </si>
  <si>
    <t>06401-220092</t>
  </si>
  <si>
    <t>J833175073</t>
  </si>
  <si>
    <t>Z267728532</t>
  </si>
  <si>
    <t>Nießen</t>
  </si>
  <si>
    <t>Jürgen</t>
  </si>
  <si>
    <t>Bergstraße 31</t>
  </si>
  <si>
    <t>06408-9698220</t>
  </si>
  <si>
    <t>U810087437</t>
  </si>
  <si>
    <t>Schilling</t>
  </si>
  <si>
    <t>Gartenstrßae 33</t>
  </si>
  <si>
    <t>Fernwald/Annerod</t>
  </si>
  <si>
    <t>0641-480112</t>
  </si>
  <si>
    <t>M528154617</t>
  </si>
  <si>
    <t>Dienbergstraße 17</t>
  </si>
  <si>
    <t>Reinhardshain</t>
  </si>
  <si>
    <t>06401-2236004</t>
  </si>
  <si>
    <t>R667156600</t>
  </si>
  <si>
    <t>Jäger</t>
  </si>
  <si>
    <t>06408-968482</t>
  </si>
  <si>
    <t>W556137974</t>
  </si>
  <si>
    <t>Hannelore</t>
  </si>
  <si>
    <t>N837924290</t>
  </si>
  <si>
    <t>Schulz</t>
  </si>
  <si>
    <t>Bernd</t>
  </si>
  <si>
    <t>Metzengasse 4</t>
  </si>
  <si>
    <t>Lilienweg 2</t>
  </si>
  <si>
    <t>06400-7700</t>
  </si>
  <si>
    <t>Q073932531</t>
  </si>
  <si>
    <t>Inge Schulz</t>
  </si>
  <si>
    <t>Kessler</t>
  </si>
  <si>
    <t xml:space="preserve">Maria </t>
  </si>
  <si>
    <t>Vorderer Schellersberg 1</t>
  </si>
  <si>
    <t>06400-5696</t>
  </si>
  <si>
    <t>B806096036</t>
  </si>
  <si>
    <t>Joppich</t>
  </si>
  <si>
    <t>Udersbergstraße 13</t>
  </si>
  <si>
    <t>0176-56947474</t>
  </si>
  <si>
    <t>J306993764</t>
  </si>
  <si>
    <t xml:space="preserve"> Müller</t>
  </si>
  <si>
    <t>Dresdnerstr. 10</t>
  </si>
  <si>
    <t>06408-2608</t>
  </si>
  <si>
    <t>09.11.1952,</t>
  </si>
  <si>
    <t>Z686231369</t>
  </si>
  <si>
    <t>Schekk</t>
  </si>
  <si>
    <t>Erna</t>
  </si>
  <si>
    <t>Riedstruth 6</t>
  </si>
  <si>
    <t>06408-6039688</t>
  </si>
  <si>
    <t>P550502878</t>
  </si>
  <si>
    <t>Kiss</t>
  </si>
  <si>
    <t>Annemarie</t>
  </si>
  <si>
    <t>Ojenberg 5</t>
  </si>
  <si>
    <t>06401-220099</t>
  </si>
  <si>
    <t>I189986119</t>
  </si>
  <si>
    <t xml:space="preserve">Fink </t>
  </si>
  <si>
    <t>Baldur</t>
  </si>
  <si>
    <t>Am Welsbach 2</t>
  </si>
  <si>
    <t xml:space="preserve">Feldatal </t>
  </si>
  <si>
    <t>06637-213</t>
  </si>
  <si>
    <t>P915613051</t>
  </si>
  <si>
    <t>Schlüter</t>
  </si>
  <si>
    <t>Heinrich</t>
  </si>
  <si>
    <t>Breslauerstr.8</t>
  </si>
  <si>
    <t>06401-6332</t>
  </si>
  <si>
    <t xml:space="preserve">Löchel </t>
  </si>
  <si>
    <t>Nicole</t>
  </si>
  <si>
    <t>Hindenburgstr.43</t>
  </si>
  <si>
    <t>0162-9047750</t>
  </si>
  <si>
    <t>A583486309</t>
  </si>
  <si>
    <t>Michel</t>
  </si>
  <si>
    <t>Monika</t>
  </si>
  <si>
    <t>Hindenburgstr.50</t>
  </si>
  <si>
    <t>06400-958973</t>
  </si>
  <si>
    <t>G715274907</t>
  </si>
  <si>
    <t>Christoph</t>
  </si>
  <si>
    <t>0176-23954484</t>
  </si>
  <si>
    <t>E534763825</t>
  </si>
  <si>
    <t>Döring</t>
  </si>
  <si>
    <t>Wolfskaute 9</t>
  </si>
  <si>
    <t>06408-6920</t>
  </si>
  <si>
    <t>Ingrid</t>
  </si>
  <si>
    <t>Kernstr. 6</t>
  </si>
  <si>
    <t>06401-1870</t>
  </si>
  <si>
    <t>E146486207</t>
  </si>
  <si>
    <t>Katarina Sicaja</t>
  </si>
  <si>
    <t>Sicaja</t>
  </si>
  <si>
    <t>Katarina</t>
  </si>
  <si>
    <t>Grünbergerstr.</t>
  </si>
  <si>
    <t>Steinmann</t>
  </si>
  <si>
    <t>Sven</t>
  </si>
  <si>
    <t>Eschenweg 2</t>
  </si>
  <si>
    <t>Homberg</t>
  </si>
  <si>
    <t>0170-5482713</t>
  </si>
  <si>
    <t>C452352465</t>
  </si>
  <si>
    <t>Obergasse 19a</t>
  </si>
  <si>
    <t>0641-9789999</t>
  </si>
  <si>
    <t>Z766821040</t>
  </si>
  <si>
    <t>Steinfort</t>
  </si>
  <si>
    <t>Hanken</t>
  </si>
  <si>
    <t>Maria</t>
  </si>
  <si>
    <t>Burgstr. 13</t>
  </si>
  <si>
    <t>0641-9801551</t>
  </si>
  <si>
    <t>L463691389</t>
  </si>
  <si>
    <t>100 Euro</t>
  </si>
  <si>
    <t>520 Euro</t>
  </si>
  <si>
    <t>104 Euro</t>
  </si>
  <si>
    <t>Luise</t>
  </si>
  <si>
    <t>Grohgasse 4</t>
  </si>
  <si>
    <t>0151-20157249</t>
  </si>
  <si>
    <t>Q461605073</t>
  </si>
  <si>
    <t>L839425314</t>
  </si>
  <si>
    <t xml:space="preserve"> Kantstraße.25</t>
  </si>
  <si>
    <t>06401-228484</t>
  </si>
  <si>
    <t>Y254092160</t>
  </si>
  <si>
    <t>Reiner</t>
  </si>
  <si>
    <t>Helenengasse.7</t>
  </si>
  <si>
    <t>06044-1575</t>
  </si>
  <si>
    <t>Ranze</t>
  </si>
  <si>
    <t>Diego</t>
  </si>
  <si>
    <t>Hofgartenstraße 7</t>
  </si>
  <si>
    <t>06408-61558</t>
  </si>
  <si>
    <t>I106520264</t>
  </si>
  <si>
    <t>Döll</t>
  </si>
  <si>
    <t>Krankenkasse</t>
  </si>
  <si>
    <t>AOK Hessen</t>
  </si>
  <si>
    <t>KKH</t>
  </si>
  <si>
    <t>BEK</t>
  </si>
  <si>
    <t>TK</t>
  </si>
  <si>
    <t>DAK</t>
  </si>
  <si>
    <t>Bahn BKK</t>
  </si>
  <si>
    <t>IKK Classic</t>
  </si>
  <si>
    <t>AOK Rheinland Pfalz</t>
  </si>
  <si>
    <t>Post B</t>
  </si>
  <si>
    <t>Herzberger</t>
  </si>
  <si>
    <t>BKK 24</t>
  </si>
  <si>
    <t>Inter Versicherungsgruppe</t>
  </si>
  <si>
    <t>IKK Südwest</t>
  </si>
  <si>
    <t>Viactiv</t>
  </si>
  <si>
    <t>BKK Mobil Oil</t>
  </si>
  <si>
    <t>Parra</t>
  </si>
  <si>
    <t>MH Plus</t>
  </si>
  <si>
    <t>Vivida BKK</t>
  </si>
  <si>
    <t>Schwalm</t>
  </si>
  <si>
    <t>Martina</t>
  </si>
  <si>
    <t>Weideweg 22</t>
  </si>
  <si>
    <t>06634-917404</t>
  </si>
  <si>
    <t>L104470272</t>
  </si>
  <si>
    <t>Pracht</t>
  </si>
  <si>
    <t>DeBeKa</t>
  </si>
  <si>
    <t>DBV</t>
  </si>
  <si>
    <t>Dickel</t>
  </si>
  <si>
    <t>Gretel</t>
  </si>
  <si>
    <t>Goethestraße.14</t>
  </si>
  <si>
    <t>06633-1352</t>
  </si>
  <si>
    <t>D022235370</t>
  </si>
  <si>
    <t>Barthoff</t>
  </si>
  <si>
    <t>Kimberly-Sophie</t>
  </si>
  <si>
    <t>0162-9031182</t>
  </si>
  <si>
    <t>A754015145</t>
  </si>
  <si>
    <t>Schneemann</t>
  </si>
  <si>
    <t>Elpenröder Str.16</t>
  </si>
  <si>
    <t>01522-6729016</t>
  </si>
  <si>
    <t>Laura Schneemann</t>
  </si>
  <si>
    <t>2125864.4</t>
  </si>
  <si>
    <t>Ziegelberg 7</t>
  </si>
  <si>
    <t>Am Oberborn 25</t>
  </si>
  <si>
    <t>0152-29944258</t>
  </si>
  <si>
    <t>O79316205</t>
  </si>
  <si>
    <t>Techniker Krankenkasse</t>
  </si>
  <si>
    <t>U805829916</t>
  </si>
  <si>
    <t>Walther</t>
  </si>
  <si>
    <t>Schellersberg 10</t>
  </si>
  <si>
    <t>06400-8693</t>
  </si>
  <si>
    <t>Wiegand</t>
  </si>
  <si>
    <t>Schillerstr. 17</t>
  </si>
  <si>
    <t>06633-7723</t>
  </si>
  <si>
    <t>U739495978</t>
  </si>
  <si>
    <t>Hörle</t>
  </si>
  <si>
    <t>Johanna</t>
  </si>
  <si>
    <t>Kirchweg 2</t>
  </si>
  <si>
    <t>06400-5361</t>
  </si>
  <si>
    <t>S275673046</t>
  </si>
  <si>
    <t>Wilhelmstr. 10</t>
  </si>
  <si>
    <t>06401-2290280</t>
  </si>
  <si>
    <t>H26988551512</t>
  </si>
  <si>
    <t>Bambey</t>
  </si>
  <si>
    <t>Henkel</t>
  </si>
  <si>
    <t>Die Hotte 9</t>
  </si>
  <si>
    <t>06634-8956</t>
  </si>
  <si>
    <t>Z462369652</t>
  </si>
  <si>
    <t>K441457358</t>
  </si>
  <si>
    <t>Kammerpfad 14</t>
  </si>
  <si>
    <t>06401-6694</t>
  </si>
  <si>
    <t>19.11.19374</t>
  </si>
  <si>
    <t>H233261428</t>
  </si>
  <si>
    <t>Giebel</t>
  </si>
  <si>
    <t>Irene</t>
  </si>
  <si>
    <t>Vetzberger Weg 28</t>
  </si>
  <si>
    <t>Biebertal</t>
  </si>
  <si>
    <t>06409-3374860</t>
  </si>
  <si>
    <t>Z308983314</t>
  </si>
  <si>
    <t>Nicklas</t>
  </si>
  <si>
    <t>Christel</t>
  </si>
  <si>
    <t>Rüddingshäuserstr. 12</t>
  </si>
  <si>
    <t>06634-579</t>
  </si>
  <si>
    <t>T818939835</t>
  </si>
  <si>
    <t>LKK Darmstadt</t>
  </si>
  <si>
    <t>Walter</t>
  </si>
  <si>
    <t>Höingerstr. 4</t>
  </si>
  <si>
    <t>06633-7770</t>
  </si>
  <si>
    <t>L927636232</t>
  </si>
  <si>
    <t>Goethestr. 14</t>
  </si>
  <si>
    <t>Wehrmeister</t>
  </si>
  <si>
    <t>Gerlinde</t>
  </si>
  <si>
    <t>Auf der Bleiche 6</t>
  </si>
  <si>
    <t>06404-61518</t>
  </si>
  <si>
    <t>J246590969</t>
  </si>
  <si>
    <t>X367657626</t>
  </si>
  <si>
    <t>Peter Kratz</t>
  </si>
  <si>
    <t>40 Euro</t>
  </si>
  <si>
    <t>,</t>
  </si>
  <si>
    <t>ja</t>
  </si>
  <si>
    <t>Geiss</t>
  </si>
  <si>
    <t>Tamara</t>
  </si>
  <si>
    <t>Tamara Geiss</t>
  </si>
  <si>
    <t xml:space="preserve"> </t>
  </si>
  <si>
    <t>Elisabeth</t>
  </si>
  <si>
    <t>Am Mühlgraben 8</t>
  </si>
  <si>
    <t>06400-957115</t>
  </si>
  <si>
    <t>Z780999020</t>
  </si>
  <si>
    <t>verstorben</t>
  </si>
  <si>
    <t>Hessenstr. 30</t>
  </si>
  <si>
    <t>0172-8455094</t>
  </si>
  <si>
    <t>tamara21@web.de</t>
  </si>
  <si>
    <t>Seipp</t>
  </si>
  <si>
    <t>Daniel</t>
  </si>
  <si>
    <t>Am Wingert 11</t>
  </si>
  <si>
    <t>06401-220354</t>
  </si>
  <si>
    <t>C876767468</t>
  </si>
  <si>
    <t>Schmidt</t>
  </si>
  <si>
    <t>Elke</t>
  </si>
  <si>
    <t>Grubenbacherstr. 13</t>
  </si>
  <si>
    <t>06400-988881</t>
  </si>
  <si>
    <t>Z047256279</t>
  </si>
  <si>
    <t>Steinbrecher</t>
  </si>
  <si>
    <t>Thalia</t>
  </si>
  <si>
    <t>Schubertstr. 20,</t>
  </si>
  <si>
    <t>Heuchelheim</t>
  </si>
  <si>
    <t>0176-70538742</t>
  </si>
  <si>
    <t>Polk</t>
  </si>
  <si>
    <t>Evi</t>
  </si>
  <si>
    <t>Börnches.6</t>
  </si>
  <si>
    <t>01577-7090715</t>
  </si>
  <si>
    <t>F452535928</t>
  </si>
  <si>
    <t>Ella</t>
  </si>
  <si>
    <t>Bergstr.89</t>
  </si>
  <si>
    <t>06408-5034740</t>
  </si>
  <si>
    <t>Q701377317</t>
  </si>
  <si>
    <t>Wagner</t>
  </si>
  <si>
    <t>Karl-Follenstr.3</t>
  </si>
  <si>
    <t>0157-74173523</t>
  </si>
  <si>
    <t>V629906209</t>
  </si>
  <si>
    <t>Reitz</t>
  </si>
  <si>
    <t>Elli</t>
  </si>
  <si>
    <t>Untergasse 41</t>
  </si>
  <si>
    <t>06400-6351</t>
  </si>
  <si>
    <t>L779338836</t>
  </si>
  <si>
    <t>Thalia Steinbrecher</t>
  </si>
  <si>
    <t>Pfeil</t>
  </si>
  <si>
    <t>Erfurtshäuserstr.5</t>
  </si>
  <si>
    <t>06633-7148</t>
  </si>
  <si>
    <t>X043921015</t>
  </si>
  <si>
    <t>Hebstreit</t>
  </si>
  <si>
    <t>Julia</t>
  </si>
  <si>
    <t>Fasanenweg.14</t>
  </si>
  <si>
    <t>0176-74589022</t>
  </si>
  <si>
    <t>G360527631</t>
  </si>
  <si>
    <t>Helmut</t>
  </si>
  <si>
    <t>Bergwiesenstr.5</t>
  </si>
  <si>
    <t>06400-200320</t>
  </si>
  <si>
    <t>W333549220</t>
  </si>
  <si>
    <t>Dr.Post</t>
  </si>
  <si>
    <t>Dietrich</t>
  </si>
  <si>
    <t>Am Süshang 11</t>
  </si>
  <si>
    <t>0641-82505</t>
  </si>
  <si>
    <t>U576239071</t>
  </si>
  <si>
    <t>Braun</t>
  </si>
  <si>
    <t>Johannes</t>
  </si>
  <si>
    <t>Eichendorfring 12</t>
  </si>
  <si>
    <t>Labussek</t>
  </si>
  <si>
    <t>Kristine</t>
  </si>
  <si>
    <t>Anneröder Weg 1</t>
  </si>
  <si>
    <t>0641-41924</t>
  </si>
  <si>
    <t>Marian</t>
  </si>
  <si>
    <t>Anneröder Weg 10</t>
  </si>
  <si>
    <t>R904656343</t>
  </si>
  <si>
    <t>Kristine Labussek</t>
  </si>
  <si>
    <t>Schel</t>
  </si>
  <si>
    <t>Wanderslebenerstr. 2</t>
  </si>
  <si>
    <t>0152-02953113</t>
  </si>
  <si>
    <t>P639812425</t>
  </si>
  <si>
    <t>Johannes Braun</t>
  </si>
  <si>
    <t>Amalia</t>
  </si>
  <si>
    <t>Trieb 3</t>
  </si>
  <si>
    <t>Q025983426</t>
  </si>
  <si>
    <t>Kraut</t>
  </si>
  <si>
    <t>Helena</t>
  </si>
  <si>
    <t>Eichendorfring 22</t>
  </si>
  <si>
    <t>0641-58098915</t>
  </si>
  <si>
    <t>D472089172</t>
  </si>
  <si>
    <t>Wenski</t>
  </si>
  <si>
    <t>Ira</t>
  </si>
  <si>
    <t>0641-98689594</t>
  </si>
  <si>
    <t>P731129320</t>
  </si>
  <si>
    <t>Kunden Nr.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</si>
</sst>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#,##0\ &quot;€&quot;;[Red]\-#,##0\ &quot;€&quot;"/>
  </numFmts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14" fontId="0" fillId="0" borderId="0" xfId="0" applyNumberFormat="1"/>
    <xf numFmtId="0" fontId="2" fillId="0" borderId="0" xfId="0" applyFont="1"/>
    <xf numFmtId="6" fontId="0" fillId="0" borderId="0" xfId="0" applyNumberFormat="1"/>
  </cellXfs>
  <cellStyles count="2">
    <cellStyle name="Link" xfId="1" builtinId="8"/>
    <cellStyle name="Standard" xfId="0" builtinId="0"/>
  </cellStyles>
  <dxfs count="10"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druschel.andrea@freenet.de" TargetMode="External"/><Relationship Id="rId13" Type="http://schemas.openxmlformats.org/officeDocument/2006/relationships/hyperlink" Target="mailto:tamara21@web.de" TargetMode="External"/><Relationship Id="rId3" Type="http://schemas.openxmlformats.org/officeDocument/2006/relationships/hyperlink" Target="mailto:inez.unger@online.de" TargetMode="External"/><Relationship Id="rId7" Type="http://schemas.openxmlformats.org/officeDocument/2006/relationships/hyperlink" Target="mailto:lyn.artemis@web.de" TargetMode="External"/><Relationship Id="rId12" Type="http://schemas.openxmlformats.org/officeDocument/2006/relationships/hyperlink" Target="mailto:s-l.engel@t-online.de" TargetMode="External"/><Relationship Id="rId2" Type="http://schemas.openxmlformats.org/officeDocument/2006/relationships/hyperlink" Target="mailto:kern.alexandra@yahoo.de" TargetMode="External"/><Relationship Id="rId1" Type="http://schemas.openxmlformats.org/officeDocument/2006/relationships/hyperlink" Target="mailto:westphal.laura@mail.de" TargetMode="External"/><Relationship Id="rId6" Type="http://schemas.openxmlformats.org/officeDocument/2006/relationships/hyperlink" Target="mailto:hannahruehl@aol.com" TargetMode="External"/><Relationship Id="rId11" Type="http://schemas.openxmlformats.org/officeDocument/2006/relationships/hyperlink" Target="mailto:andreamerita@gmx.de" TargetMode="External"/><Relationship Id="rId5" Type="http://schemas.openxmlformats.org/officeDocument/2006/relationships/hyperlink" Target="mailto:sibyllepeterkratz@t-online.de" TargetMode="External"/><Relationship Id="rId10" Type="http://schemas.openxmlformats.org/officeDocument/2006/relationships/hyperlink" Target="mailto:julian-kuplewatzky@web.de" TargetMode="External"/><Relationship Id="rId4" Type="http://schemas.openxmlformats.org/officeDocument/2006/relationships/hyperlink" Target="mailto:anjareitz@yahoo.com" TargetMode="External"/><Relationship Id="rId9" Type="http://schemas.openxmlformats.org/officeDocument/2006/relationships/hyperlink" Target="mailto:sinnastrid@web.d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0E18A-B26A-4D93-BAF1-D5F8B7749ADC}">
  <dimension ref="A1:R200"/>
  <sheetViews>
    <sheetView tabSelected="1" zoomScale="115" zoomScaleNormal="115" workbookViewId="0"/>
  </sheetViews>
  <sheetFormatPr baseColWidth="10" defaultRowHeight="15" x14ac:dyDescent="0.25"/>
  <cols>
    <col min="1" max="1" width="14" customWidth="1"/>
    <col min="2" max="2" width="14.42578125" customWidth="1"/>
    <col min="3" max="3" width="14.140625" customWidth="1"/>
    <col min="4" max="4" width="21.5703125" customWidth="1"/>
    <col min="7" max="7" width="16" customWidth="1"/>
    <col min="9" max="10" width="27.140625" customWidth="1"/>
    <col min="12" max="12" width="12.85546875" customWidth="1"/>
    <col min="13" max="13" width="37.28515625" customWidth="1"/>
  </cols>
  <sheetData>
    <row r="1" spans="1:18" ht="18.75" x14ac:dyDescent="0.3">
      <c r="A1" s="3" t="s">
        <v>767</v>
      </c>
      <c r="B1" s="3" t="s">
        <v>9</v>
      </c>
      <c r="C1" s="3" t="s">
        <v>10</v>
      </c>
      <c r="D1" s="3" t="s">
        <v>94</v>
      </c>
      <c r="E1" s="3" t="s">
        <v>1</v>
      </c>
      <c r="F1" s="3" t="s">
        <v>11</v>
      </c>
      <c r="G1" s="3" t="s">
        <v>6</v>
      </c>
      <c r="H1" s="3" t="s">
        <v>7</v>
      </c>
      <c r="I1" s="3" t="s">
        <v>2</v>
      </c>
      <c r="J1" s="3" t="s">
        <v>576</v>
      </c>
      <c r="K1" s="3" t="s">
        <v>3</v>
      </c>
      <c r="L1" s="3" t="s">
        <v>4</v>
      </c>
      <c r="M1" s="3" t="s">
        <v>5</v>
      </c>
      <c r="N1" s="3" t="s">
        <v>15</v>
      </c>
      <c r="O1" s="3" t="s">
        <v>16</v>
      </c>
      <c r="P1" s="3" t="s">
        <v>19</v>
      </c>
      <c r="Q1" s="3" t="s">
        <v>672</v>
      </c>
    </row>
    <row r="2" spans="1:18" x14ac:dyDescent="0.25">
      <c r="A2">
        <v>1</v>
      </c>
      <c r="B2" t="s">
        <v>91</v>
      </c>
      <c r="C2" t="s">
        <v>92</v>
      </c>
      <c r="D2" t="s">
        <v>93</v>
      </c>
      <c r="E2">
        <v>35325</v>
      </c>
      <c r="F2" t="s">
        <v>23</v>
      </c>
      <c r="G2" t="s">
        <v>95</v>
      </c>
      <c r="H2" s="2">
        <v>22242</v>
      </c>
      <c r="J2" t="s">
        <v>580</v>
      </c>
      <c r="K2" t="s">
        <v>401</v>
      </c>
      <c r="N2" t="str">
        <f t="shared" ref="N2:N17" si="0">IF(O2="Pausiert","Pausiert",IF(O2="Verstorben","Verstorben",IF(O2="Gekündigt","Gekündigt",IF(K2="","Unverplant","Verplant"))))</f>
        <v>Verplant</v>
      </c>
      <c r="O2" t="s">
        <v>17</v>
      </c>
      <c r="P2">
        <f>IF(N2="Verplant",3.5,"")</f>
        <v>3.5</v>
      </c>
    </row>
    <row r="3" spans="1:18" x14ac:dyDescent="0.25">
      <c r="A3">
        <v>2</v>
      </c>
      <c r="B3" t="s">
        <v>96</v>
      </c>
      <c r="C3" t="s">
        <v>97</v>
      </c>
      <c r="D3" t="s">
        <v>98</v>
      </c>
      <c r="E3">
        <v>35466</v>
      </c>
      <c r="F3" t="s">
        <v>99</v>
      </c>
      <c r="G3" t="s">
        <v>100</v>
      </c>
      <c r="H3" s="2">
        <v>15320</v>
      </c>
      <c r="I3" t="s">
        <v>115</v>
      </c>
      <c r="J3" t="s">
        <v>581</v>
      </c>
      <c r="K3" t="s">
        <v>402</v>
      </c>
      <c r="N3" t="str">
        <f t="shared" si="0"/>
        <v>Verplant</v>
      </c>
      <c r="O3" t="s">
        <v>17</v>
      </c>
    </row>
    <row r="4" spans="1:18" x14ac:dyDescent="0.25">
      <c r="A4">
        <v>3</v>
      </c>
      <c r="B4" t="s">
        <v>101</v>
      </c>
      <c r="C4" t="s">
        <v>102</v>
      </c>
      <c r="D4" t="s">
        <v>103</v>
      </c>
      <c r="E4">
        <v>35305</v>
      </c>
      <c r="F4" t="s">
        <v>45</v>
      </c>
      <c r="G4" t="s">
        <v>104</v>
      </c>
      <c r="H4" s="2">
        <v>15196</v>
      </c>
      <c r="I4" t="s">
        <v>114</v>
      </c>
      <c r="J4" t="s">
        <v>582</v>
      </c>
      <c r="K4" t="s">
        <v>403</v>
      </c>
      <c r="N4" t="str">
        <f t="shared" si="0"/>
        <v>Verplant</v>
      </c>
      <c r="O4" t="s">
        <v>17</v>
      </c>
      <c r="P4">
        <f t="shared" ref="P4:P17" si="1">IF(N4="Verplant",3.5,"")</f>
        <v>3.5</v>
      </c>
    </row>
    <row r="5" spans="1:18" x14ac:dyDescent="0.25">
      <c r="A5">
        <v>4</v>
      </c>
      <c r="B5" t="s">
        <v>105</v>
      </c>
      <c r="C5" t="s">
        <v>21</v>
      </c>
      <c r="D5" t="s">
        <v>106</v>
      </c>
      <c r="E5">
        <v>35325</v>
      </c>
      <c r="F5" t="s">
        <v>23</v>
      </c>
      <c r="G5" t="s">
        <v>107</v>
      </c>
      <c r="H5" s="2">
        <v>17742</v>
      </c>
      <c r="I5" t="s">
        <v>113</v>
      </c>
      <c r="J5" t="s">
        <v>577</v>
      </c>
      <c r="K5" t="s">
        <v>403</v>
      </c>
      <c r="N5" t="str">
        <f t="shared" si="0"/>
        <v>Verplant</v>
      </c>
      <c r="O5" t="s">
        <v>17</v>
      </c>
      <c r="P5">
        <f t="shared" si="1"/>
        <v>3.5</v>
      </c>
    </row>
    <row r="6" spans="1:18" x14ac:dyDescent="0.25">
      <c r="A6">
        <v>5</v>
      </c>
      <c r="B6" t="s">
        <v>108</v>
      </c>
      <c r="C6" t="s">
        <v>109</v>
      </c>
      <c r="D6" t="s">
        <v>110</v>
      </c>
      <c r="E6">
        <v>35325</v>
      </c>
      <c r="F6" t="s">
        <v>23</v>
      </c>
      <c r="G6" t="s">
        <v>111</v>
      </c>
      <c r="H6" s="2">
        <v>41262</v>
      </c>
      <c r="I6" t="s">
        <v>112</v>
      </c>
      <c r="J6" t="s">
        <v>584</v>
      </c>
      <c r="K6" t="s">
        <v>403</v>
      </c>
      <c r="N6" t="str">
        <f t="shared" si="0"/>
        <v>Verplant</v>
      </c>
      <c r="O6" t="s">
        <v>17</v>
      </c>
      <c r="P6">
        <f t="shared" si="1"/>
        <v>3.5</v>
      </c>
      <c r="Q6" t="s">
        <v>674</v>
      </c>
      <c r="R6" t="s">
        <v>673</v>
      </c>
    </row>
    <row r="7" spans="1:18" x14ac:dyDescent="0.25">
      <c r="A7">
        <v>6</v>
      </c>
      <c r="B7" t="s">
        <v>116</v>
      </c>
      <c r="C7" t="s">
        <v>117</v>
      </c>
      <c r="D7" t="s">
        <v>118</v>
      </c>
      <c r="E7">
        <v>35466</v>
      </c>
      <c r="F7" t="s">
        <v>119</v>
      </c>
      <c r="G7" t="s">
        <v>121</v>
      </c>
      <c r="H7" s="2">
        <v>16174</v>
      </c>
      <c r="I7" t="s">
        <v>120</v>
      </c>
      <c r="J7" t="s">
        <v>581</v>
      </c>
      <c r="K7" t="s">
        <v>402</v>
      </c>
      <c r="N7" t="str">
        <f t="shared" si="0"/>
        <v>Verplant</v>
      </c>
      <c r="O7" t="s">
        <v>17</v>
      </c>
      <c r="P7">
        <f t="shared" si="1"/>
        <v>3.5</v>
      </c>
    </row>
    <row r="8" spans="1:18" x14ac:dyDescent="0.25">
      <c r="A8">
        <v>7</v>
      </c>
      <c r="B8" t="s">
        <v>116</v>
      </c>
      <c r="C8" t="s">
        <v>127</v>
      </c>
      <c r="D8" t="s">
        <v>118</v>
      </c>
      <c r="E8">
        <v>35466</v>
      </c>
      <c r="F8" t="s">
        <v>119</v>
      </c>
      <c r="G8" t="s">
        <v>121</v>
      </c>
      <c r="H8" s="2">
        <v>17105</v>
      </c>
      <c r="I8" t="s">
        <v>563</v>
      </c>
      <c r="J8" t="s">
        <v>581</v>
      </c>
      <c r="K8" t="s">
        <v>402</v>
      </c>
      <c r="N8" t="str">
        <f t="shared" si="0"/>
        <v>Verplant</v>
      </c>
      <c r="O8" t="s">
        <v>17</v>
      </c>
      <c r="P8">
        <f t="shared" si="1"/>
        <v>3.5</v>
      </c>
    </row>
    <row r="9" spans="1:18" x14ac:dyDescent="0.25">
      <c r="A9">
        <v>8</v>
      </c>
      <c r="B9" t="s">
        <v>122</v>
      </c>
      <c r="C9" t="s">
        <v>123</v>
      </c>
      <c r="D9" t="s">
        <v>124</v>
      </c>
      <c r="E9">
        <v>35435</v>
      </c>
      <c r="F9" t="s">
        <v>40</v>
      </c>
      <c r="G9" t="s">
        <v>125</v>
      </c>
      <c r="H9" s="2">
        <v>12957</v>
      </c>
      <c r="I9" t="s">
        <v>126</v>
      </c>
      <c r="J9" t="s">
        <v>581</v>
      </c>
      <c r="K9" t="s">
        <v>404</v>
      </c>
      <c r="N9" t="str">
        <f t="shared" si="0"/>
        <v>Verplant</v>
      </c>
      <c r="O9" t="s">
        <v>17</v>
      </c>
      <c r="P9">
        <f t="shared" si="1"/>
        <v>3.5</v>
      </c>
    </row>
    <row r="10" spans="1:18" x14ac:dyDescent="0.25">
      <c r="A10">
        <v>9</v>
      </c>
      <c r="B10" t="s">
        <v>128</v>
      </c>
      <c r="C10" t="s">
        <v>129</v>
      </c>
      <c r="D10" t="s">
        <v>130</v>
      </c>
      <c r="E10">
        <v>35325</v>
      </c>
      <c r="F10" t="s">
        <v>23</v>
      </c>
      <c r="G10" t="s">
        <v>131</v>
      </c>
      <c r="H10" s="2">
        <v>18047</v>
      </c>
      <c r="I10" t="s">
        <v>132</v>
      </c>
      <c r="J10" t="s">
        <v>578</v>
      </c>
      <c r="K10" t="s">
        <v>402</v>
      </c>
      <c r="N10" t="str">
        <f t="shared" si="0"/>
        <v>Verplant</v>
      </c>
      <c r="O10" t="s">
        <v>17</v>
      </c>
      <c r="P10">
        <f t="shared" si="1"/>
        <v>3.5</v>
      </c>
    </row>
    <row r="11" spans="1:18" x14ac:dyDescent="0.25">
      <c r="A11">
        <v>10</v>
      </c>
      <c r="B11" t="s">
        <v>133</v>
      </c>
      <c r="C11" t="s">
        <v>134</v>
      </c>
      <c r="D11" t="s">
        <v>110</v>
      </c>
      <c r="E11">
        <v>35325</v>
      </c>
      <c r="F11" t="s">
        <v>23</v>
      </c>
      <c r="G11" t="s">
        <v>135</v>
      </c>
      <c r="H11" s="2">
        <v>33337</v>
      </c>
      <c r="I11" t="s">
        <v>136</v>
      </c>
      <c r="J11" t="s">
        <v>583</v>
      </c>
      <c r="K11" t="s">
        <v>403</v>
      </c>
      <c r="N11" t="str">
        <f t="shared" si="0"/>
        <v>Verplant</v>
      </c>
      <c r="O11" t="s">
        <v>17</v>
      </c>
      <c r="P11">
        <f t="shared" si="1"/>
        <v>3.5</v>
      </c>
      <c r="Q11" t="s">
        <v>674</v>
      </c>
    </row>
    <row r="12" spans="1:18" x14ac:dyDescent="0.25">
      <c r="A12">
        <v>11</v>
      </c>
      <c r="B12" t="s">
        <v>575</v>
      </c>
      <c r="C12" t="s">
        <v>137</v>
      </c>
      <c r="D12" t="s">
        <v>138</v>
      </c>
      <c r="E12">
        <v>35035</v>
      </c>
      <c r="F12" t="s">
        <v>139</v>
      </c>
      <c r="G12" t="s">
        <v>141</v>
      </c>
      <c r="H12" s="2">
        <v>19537</v>
      </c>
      <c r="I12" t="s">
        <v>140</v>
      </c>
      <c r="J12" t="s">
        <v>577</v>
      </c>
      <c r="K12" t="s">
        <v>402</v>
      </c>
      <c r="N12" t="str">
        <f t="shared" si="0"/>
        <v>Verplant</v>
      </c>
      <c r="O12" t="s">
        <v>17</v>
      </c>
      <c r="P12">
        <f t="shared" si="1"/>
        <v>3.5</v>
      </c>
    </row>
    <row r="13" spans="1:18" x14ac:dyDescent="0.25">
      <c r="A13">
        <v>12</v>
      </c>
      <c r="B13" t="s">
        <v>142</v>
      </c>
      <c r="C13" t="s">
        <v>117</v>
      </c>
      <c r="D13" t="s">
        <v>143</v>
      </c>
      <c r="E13">
        <v>35447</v>
      </c>
      <c r="F13" t="s">
        <v>357</v>
      </c>
      <c r="G13" t="s">
        <v>144</v>
      </c>
      <c r="H13" s="2">
        <v>18040</v>
      </c>
      <c r="I13" t="s">
        <v>145</v>
      </c>
      <c r="J13" t="s">
        <v>579</v>
      </c>
      <c r="K13" t="s">
        <v>402</v>
      </c>
      <c r="N13" t="str">
        <f t="shared" si="0"/>
        <v>Verplant</v>
      </c>
      <c r="O13" t="s">
        <v>17</v>
      </c>
      <c r="P13">
        <f t="shared" si="1"/>
        <v>3.5</v>
      </c>
    </row>
    <row r="14" spans="1:18" x14ac:dyDescent="0.25">
      <c r="A14">
        <v>13</v>
      </c>
      <c r="B14" t="s">
        <v>146</v>
      </c>
      <c r="C14" t="s">
        <v>147</v>
      </c>
      <c r="D14" t="s">
        <v>130</v>
      </c>
      <c r="E14">
        <v>35325</v>
      </c>
      <c r="F14" t="s">
        <v>23</v>
      </c>
      <c r="G14" t="s">
        <v>148</v>
      </c>
      <c r="H14" s="2">
        <v>38228</v>
      </c>
      <c r="I14" t="s">
        <v>149</v>
      </c>
      <c r="J14" t="s">
        <v>578</v>
      </c>
      <c r="K14" t="s">
        <v>405</v>
      </c>
      <c r="M14" t="s">
        <v>413</v>
      </c>
      <c r="N14" t="str">
        <f t="shared" si="0"/>
        <v>Verplant</v>
      </c>
      <c r="O14" t="s">
        <v>17</v>
      </c>
      <c r="P14">
        <f t="shared" si="1"/>
        <v>3.5</v>
      </c>
    </row>
    <row r="15" spans="1:18" x14ac:dyDescent="0.25">
      <c r="A15">
        <v>14</v>
      </c>
      <c r="B15" t="s">
        <v>150</v>
      </c>
      <c r="C15" t="s">
        <v>151</v>
      </c>
      <c r="D15" t="s">
        <v>152</v>
      </c>
      <c r="E15">
        <v>35423</v>
      </c>
      <c r="F15" t="s">
        <v>198</v>
      </c>
      <c r="G15" t="s">
        <v>153</v>
      </c>
      <c r="H15" s="2">
        <v>16876</v>
      </c>
      <c r="I15" t="s">
        <v>154</v>
      </c>
      <c r="J15" t="s">
        <v>577</v>
      </c>
      <c r="K15" t="s">
        <v>406</v>
      </c>
      <c r="N15" t="str">
        <f t="shared" si="0"/>
        <v>Verplant</v>
      </c>
      <c r="O15" t="s">
        <v>17</v>
      </c>
      <c r="P15">
        <f t="shared" si="1"/>
        <v>3.5</v>
      </c>
    </row>
    <row r="16" spans="1:18" x14ac:dyDescent="0.25">
      <c r="A16">
        <v>15</v>
      </c>
      <c r="B16" t="s">
        <v>155</v>
      </c>
      <c r="C16" t="s">
        <v>156</v>
      </c>
      <c r="D16" t="s">
        <v>157</v>
      </c>
      <c r="E16">
        <v>35305</v>
      </c>
      <c r="F16" t="s">
        <v>45</v>
      </c>
      <c r="G16" t="s">
        <v>158</v>
      </c>
      <c r="H16" s="2">
        <v>22268</v>
      </c>
      <c r="I16" t="s">
        <v>159</v>
      </c>
      <c r="J16" t="s">
        <v>577</v>
      </c>
      <c r="K16" t="s">
        <v>406</v>
      </c>
      <c r="N16" t="str">
        <f t="shared" si="0"/>
        <v>Verplant</v>
      </c>
      <c r="O16" t="s">
        <v>17</v>
      </c>
      <c r="P16">
        <f t="shared" si="1"/>
        <v>3.5</v>
      </c>
    </row>
    <row r="17" spans="1:17" x14ac:dyDescent="0.25">
      <c r="A17">
        <v>16</v>
      </c>
      <c r="B17" t="s">
        <v>160</v>
      </c>
      <c r="C17" t="s">
        <v>161</v>
      </c>
      <c r="D17" t="s">
        <v>162</v>
      </c>
      <c r="E17">
        <v>35460</v>
      </c>
      <c r="F17" t="s">
        <v>163</v>
      </c>
      <c r="G17" t="s">
        <v>164</v>
      </c>
      <c r="H17" s="2">
        <v>15961</v>
      </c>
      <c r="I17" t="s">
        <v>165</v>
      </c>
      <c r="J17" t="s">
        <v>580</v>
      </c>
      <c r="K17" t="s">
        <v>406</v>
      </c>
      <c r="N17" t="str">
        <f t="shared" si="0"/>
        <v>Verplant</v>
      </c>
      <c r="O17" t="s">
        <v>17</v>
      </c>
      <c r="P17">
        <f t="shared" si="1"/>
        <v>3.5</v>
      </c>
      <c r="Q17" t="s">
        <v>674</v>
      </c>
    </row>
    <row r="18" spans="1:17" x14ac:dyDescent="0.25">
      <c r="A18">
        <v>17</v>
      </c>
      <c r="B18" t="s">
        <v>166</v>
      </c>
      <c r="C18" t="s">
        <v>171</v>
      </c>
      <c r="D18" t="s">
        <v>167</v>
      </c>
      <c r="E18">
        <v>35447</v>
      </c>
      <c r="F18" t="s">
        <v>168</v>
      </c>
      <c r="G18" t="s">
        <v>169</v>
      </c>
      <c r="H18" s="2">
        <v>15150</v>
      </c>
      <c r="I18" t="s">
        <v>170</v>
      </c>
      <c r="J18" t="s">
        <v>581</v>
      </c>
      <c r="K18" t="s">
        <v>402</v>
      </c>
      <c r="N18" t="str">
        <f t="shared" ref="N18:N81" si="2">IF(O18="Pausiert","Pausiert",IF(O18="Verstorben","Verstorben",IF(O18="Gekündigt","Gekündigt",IF(K18="","Unverplant","Verplant"))))</f>
        <v>Verplant</v>
      </c>
      <c r="O18" t="s">
        <v>17</v>
      </c>
      <c r="P18">
        <f t="shared" ref="P18:P81" si="3">IF(N18="Verplant",3.5,"")</f>
        <v>3.5</v>
      </c>
    </row>
    <row r="19" spans="1:17" x14ac:dyDescent="0.25">
      <c r="A19">
        <v>18</v>
      </c>
      <c r="B19" t="s">
        <v>166</v>
      </c>
      <c r="C19" t="s">
        <v>172</v>
      </c>
      <c r="D19" t="s">
        <v>167</v>
      </c>
      <c r="E19">
        <v>35447</v>
      </c>
      <c r="F19" t="s">
        <v>168</v>
      </c>
      <c r="G19" t="s">
        <v>169</v>
      </c>
      <c r="H19" s="2">
        <v>16252</v>
      </c>
      <c r="I19" t="s">
        <v>173</v>
      </c>
      <c r="J19" t="s">
        <v>577</v>
      </c>
      <c r="K19" t="s">
        <v>402</v>
      </c>
      <c r="N19" t="str">
        <f t="shared" si="2"/>
        <v>Verplant</v>
      </c>
      <c r="O19" t="s">
        <v>17</v>
      </c>
      <c r="P19">
        <f t="shared" si="3"/>
        <v>3.5</v>
      </c>
    </row>
    <row r="20" spans="1:17" x14ac:dyDescent="0.25">
      <c r="A20">
        <v>19</v>
      </c>
      <c r="B20" t="s">
        <v>174</v>
      </c>
      <c r="C20" t="s">
        <v>175</v>
      </c>
      <c r="D20" t="s">
        <v>176</v>
      </c>
      <c r="E20">
        <v>35390</v>
      </c>
      <c r="F20" t="s">
        <v>272</v>
      </c>
      <c r="G20" t="s">
        <v>177</v>
      </c>
      <c r="H20" s="2">
        <v>15018</v>
      </c>
      <c r="I20" t="s">
        <v>178</v>
      </c>
      <c r="J20" t="s">
        <v>585</v>
      </c>
      <c r="K20" t="s">
        <v>406</v>
      </c>
      <c r="N20" t="str">
        <f t="shared" si="2"/>
        <v>Verplant</v>
      </c>
      <c r="O20" t="s">
        <v>17</v>
      </c>
      <c r="P20">
        <f t="shared" si="3"/>
        <v>3.5</v>
      </c>
    </row>
    <row r="21" spans="1:17" x14ac:dyDescent="0.25">
      <c r="A21">
        <v>20</v>
      </c>
      <c r="B21" t="s">
        <v>586</v>
      </c>
      <c r="C21" t="s">
        <v>179</v>
      </c>
      <c r="D21" t="s">
        <v>180</v>
      </c>
      <c r="E21">
        <v>35305</v>
      </c>
      <c r="F21" t="s">
        <v>45</v>
      </c>
      <c r="G21" t="s">
        <v>181</v>
      </c>
      <c r="H21" s="2">
        <v>13469</v>
      </c>
      <c r="I21" t="s">
        <v>182</v>
      </c>
      <c r="J21" t="s">
        <v>577</v>
      </c>
      <c r="K21" t="s">
        <v>406</v>
      </c>
      <c r="N21" t="str">
        <f t="shared" si="2"/>
        <v>Verplant</v>
      </c>
      <c r="O21" t="s">
        <v>17</v>
      </c>
      <c r="P21">
        <f t="shared" si="3"/>
        <v>3.5</v>
      </c>
    </row>
    <row r="22" spans="1:17" x14ac:dyDescent="0.25">
      <c r="A22">
        <v>21</v>
      </c>
      <c r="B22" t="s">
        <v>183</v>
      </c>
      <c r="C22" t="s">
        <v>184</v>
      </c>
      <c r="D22" t="s">
        <v>185</v>
      </c>
      <c r="E22">
        <v>35418</v>
      </c>
      <c r="F22" t="s">
        <v>186</v>
      </c>
      <c r="G22" t="s">
        <v>187</v>
      </c>
      <c r="H22" s="2">
        <v>11329</v>
      </c>
      <c r="I22" t="s">
        <v>188</v>
      </c>
      <c r="J22" t="s">
        <v>587</v>
      </c>
      <c r="K22" t="s">
        <v>401</v>
      </c>
      <c r="N22" t="str">
        <f t="shared" si="2"/>
        <v>Verplant</v>
      </c>
      <c r="O22" t="s">
        <v>17</v>
      </c>
      <c r="P22">
        <f t="shared" si="3"/>
        <v>3.5</v>
      </c>
    </row>
    <row r="23" spans="1:17" x14ac:dyDescent="0.25">
      <c r="A23">
        <v>22</v>
      </c>
      <c r="B23" t="s">
        <v>183</v>
      </c>
      <c r="C23" t="s">
        <v>189</v>
      </c>
      <c r="D23" t="s">
        <v>185</v>
      </c>
      <c r="E23">
        <v>35418</v>
      </c>
      <c r="F23" t="s">
        <v>186</v>
      </c>
      <c r="G23" t="s">
        <v>187</v>
      </c>
      <c r="H23" s="2">
        <v>12574</v>
      </c>
      <c r="I23" t="s">
        <v>190</v>
      </c>
      <c r="J23" t="s">
        <v>587</v>
      </c>
      <c r="K23" t="s">
        <v>401</v>
      </c>
      <c r="N23" t="str">
        <f t="shared" si="2"/>
        <v>Verplant</v>
      </c>
      <c r="O23" t="s">
        <v>17</v>
      </c>
      <c r="P23">
        <f t="shared" si="3"/>
        <v>3.5</v>
      </c>
    </row>
    <row r="24" spans="1:17" x14ac:dyDescent="0.25">
      <c r="A24">
        <v>23</v>
      </c>
      <c r="B24" t="s">
        <v>191</v>
      </c>
      <c r="C24" t="s">
        <v>192</v>
      </c>
      <c r="D24" t="s">
        <v>193</v>
      </c>
      <c r="E24">
        <v>35325</v>
      </c>
      <c r="F24" t="s">
        <v>23</v>
      </c>
      <c r="G24" t="s">
        <v>194</v>
      </c>
      <c r="H24" s="2">
        <v>18034</v>
      </c>
      <c r="J24" t="s">
        <v>585</v>
      </c>
      <c r="K24" t="s">
        <v>402</v>
      </c>
      <c r="N24" t="str">
        <f t="shared" si="2"/>
        <v>Verplant</v>
      </c>
      <c r="O24" t="s">
        <v>17</v>
      </c>
      <c r="P24">
        <f t="shared" si="3"/>
        <v>3.5</v>
      </c>
    </row>
    <row r="25" spans="1:17" x14ac:dyDescent="0.25">
      <c r="A25">
        <v>24</v>
      </c>
      <c r="B25" t="s">
        <v>195</v>
      </c>
      <c r="C25" t="s">
        <v>196</v>
      </c>
      <c r="D25" t="s">
        <v>197</v>
      </c>
      <c r="E25">
        <v>35423</v>
      </c>
      <c r="F25" t="s">
        <v>198</v>
      </c>
      <c r="G25" t="s">
        <v>199</v>
      </c>
      <c r="H25" s="2">
        <v>16001</v>
      </c>
      <c r="I25" t="s">
        <v>200</v>
      </c>
      <c r="J25" t="s">
        <v>588</v>
      </c>
      <c r="K25" t="s">
        <v>402</v>
      </c>
      <c r="N25" t="str">
        <f t="shared" si="2"/>
        <v>Verplant</v>
      </c>
      <c r="O25" t="s">
        <v>17</v>
      </c>
      <c r="P25">
        <f t="shared" si="3"/>
        <v>3.5</v>
      </c>
    </row>
    <row r="26" spans="1:17" x14ac:dyDescent="0.25">
      <c r="A26">
        <v>25</v>
      </c>
      <c r="B26" t="s">
        <v>201</v>
      </c>
      <c r="C26" t="s">
        <v>202</v>
      </c>
      <c r="D26" t="s">
        <v>203</v>
      </c>
      <c r="E26">
        <v>35463</v>
      </c>
      <c r="F26" t="s">
        <v>204</v>
      </c>
      <c r="G26" t="s">
        <v>205</v>
      </c>
      <c r="H26" s="2">
        <v>44070</v>
      </c>
      <c r="I26" t="s">
        <v>206</v>
      </c>
      <c r="J26" t="s">
        <v>581</v>
      </c>
      <c r="K26" t="s">
        <v>402</v>
      </c>
      <c r="N26" t="str">
        <f t="shared" si="2"/>
        <v>Verplant</v>
      </c>
      <c r="O26" t="s">
        <v>17</v>
      </c>
      <c r="P26">
        <f t="shared" si="3"/>
        <v>3.5</v>
      </c>
    </row>
    <row r="27" spans="1:17" x14ac:dyDescent="0.25">
      <c r="A27">
        <v>26</v>
      </c>
      <c r="B27" t="s">
        <v>201</v>
      </c>
      <c r="C27" t="s">
        <v>207</v>
      </c>
      <c r="D27" t="s">
        <v>203</v>
      </c>
      <c r="E27">
        <v>35463</v>
      </c>
      <c r="F27" t="s">
        <v>204</v>
      </c>
      <c r="G27" t="s">
        <v>205</v>
      </c>
      <c r="H27" s="2">
        <v>44070</v>
      </c>
      <c r="I27" t="s">
        <v>208</v>
      </c>
      <c r="J27" t="s">
        <v>581</v>
      </c>
      <c r="K27" t="s">
        <v>402</v>
      </c>
      <c r="N27" t="str">
        <f t="shared" si="2"/>
        <v>Verplant</v>
      </c>
      <c r="O27" t="s">
        <v>17</v>
      </c>
      <c r="P27">
        <f t="shared" si="3"/>
        <v>3.5</v>
      </c>
    </row>
    <row r="28" spans="1:17" x14ac:dyDescent="0.25">
      <c r="A28">
        <v>27</v>
      </c>
      <c r="B28" t="s">
        <v>209</v>
      </c>
      <c r="C28" t="s">
        <v>210</v>
      </c>
      <c r="D28" t="s">
        <v>211</v>
      </c>
      <c r="E28">
        <v>35329</v>
      </c>
      <c r="F28" t="s">
        <v>212</v>
      </c>
      <c r="G28" t="s">
        <v>213</v>
      </c>
      <c r="H28" s="2">
        <v>12829</v>
      </c>
      <c r="I28" t="s">
        <v>214</v>
      </c>
      <c r="J28" t="s">
        <v>577</v>
      </c>
      <c r="K28" t="s">
        <v>678</v>
      </c>
      <c r="N28" t="str">
        <f t="shared" si="2"/>
        <v>Verplant</v>
      </c>
      <c r="O28" t="s">
        <v>17</v>
      </c>
      <c r="P28">
        <f t="shared" si="3"/>
        <v>3.5</v>
      </c>
    </row>
    <row r="29" spans="1:17" x14ac:dyDescent="0.25">
      <c r="A29">
        <v>28</v>
      </c>
      <c r="B29" t="s">
        <v>215</v>
      </c>
      <c r="C29" t="s">
        <v>216</v>
      </c>
      <c r="D29" t="s">
        <v>217</v>
      </c>
      <c r="E29">
        <v>35325</v>
      </c>
      <c r="F29" t="s">
        <v>218</v>
      </c>
      <c r="G29" t="s">
        <v>219</v>
      </c>
      <c r="I29" t="s">
        <v>220</v>
      </c>
      <c r="J29" t="s">
        <v>590</v>
      </c>
      <c r="K29" t="s">
        <v>406</v>
      </c>
      <c r="N29" t="str">
        <f t="shared" si="2"/>
        <v>Verplant</v>
      </c>
      <c r="O29" t="s">
        <v>17</v>
      </c>
      <c r="P29">
        <f t="shared" si="3"/>
        <v>3.5</v>
      </c>
    </row>
    <row r="30" spans="1:17" x14ac:dyDescent="0.25">
      <c r="A30">
        <v>29</v>
      </c>
      <c r="B30" t="s">
        <v>48</v>
      </c>
      <c r="C30" t="s">
        <v>221</v>
      </c>
      <c r="D30" t="s">
        <v>222</v>
      </c>
      <c r="E30">
        <v>35325</v>
      </c>
      <c r="F30" t="s">
        <v>23</v>
      </c>
      <c r="G30" t="s">
        <v>223</v>
      </c>
      <c r="H30" s="2">
        <v>17560</v>
      </c>
      <c r="I30" t="s">
        <v>224</v>
      </c>
      <c r="J30" t="s">
        <v>578</v>
      </c>
      <c r="K30" t="s">
        <v>402</v>
      </c>
      <c r="N30" t="str">
        <f t="shared" si="2"/>
        <v>Verplant</v>
      </c>
      <c r="O30" t="s">
        <v>17</v>
      </c>
      <c r="P30">
        <f t="shared" si="3"/>
        <v>3.5</v>
      </c>
    </row>
    <row r="31" spans="1:17" x14ac:dyDescent="0.25">
      <c r="A31">
        <v>30</v>
      </c>
      <c r="B31" t="s">
        <v>48</v>
      </c>
      <c r="C31" t="s">
        <v>225</v>
      </c>
      <c r="D31" t="s">
        <v>222</v>
      </c>
      <c r="E31">
        <v>35325</v>
      </c>
      <c r="F31" t="s">
        <v>23</v>
      </c>
      <c r="G31" t="s">
        <v>223</v>
      </c>
      <c r="H31" s="2">
        <v>15760</v>
      </c>
      <c r="I31" t="s">
        <v>226</v>
      </c>
      <c r="J31" t="s">
        <v>578</v>
      </c>
      <c r="K31" t="s">
        <v>402</v>
      </c>
      <c r="N31" t="str">
        <f t="shared" si="2"/>
        <v>Verplant</v>
      </c>
      <c r="O31" t="s">
        <v>17</v>
      </c>
      <c r="P31">
        <f t="shared" si="3"/>
        <v>3.5</v>
      </c>
    </row>
    <row r="32" spans="1:17" x14ac:dyDescent="0.25">
      <c r="A32">
        <v>31</v>
      </c>
      <c r="B32" t="s">
        <v>48</v>
      </c>
      <c r="C32" t="s">
        <v>49</v>
      </c>
      <c r="D32" t="s">
        <v>50</v>
      </c>
      <c r="E32">
        <v>35325</v>
      </c>
      <c r="F32" t="s">
        <v>23</v>
      </c>
      <c r="G32" t="s">
        <v>227</v>
      </c>
      <c r="H32" s="2">
        <v>25983</v>
      </c>
      <c r="I32" t="s">
        <v>228</v>
      </c>
      <c r="J32" t="s">
        <v>591</v>
      </c>
      <c r="K32" t="s">
        <v>407</v>
      </c>
      <c r="N32" t="str">
        <f t="shared" si="2"/>
        <v>Verplant</v>
      </c>
      <c r="O32" t="s">
        <v>17</v>
      </c>
      <c r="P32">
        <f t="shared" si="3"/>
        <v>3.5</v>
      </c>
      <c r="Q32" t="s">
        <v>674</v>
      </c>
    </row>
    <row r="33" spans="1:16" x14ac:dyDescent="0.25">
      <c r="A33">
        <v>32</v>
      </c>
      <c r="B33" t="s">
        <v>229</v>
      </c>
      <c r="C33" t="s">
        <v>230</v>
      </c>
      <c r="D33" t="s">
        <v>231</v>
      </c>
      <c r="E33">
        <v>35321</v>
      </c>
      <c r="F33" t="s">
        <v>23</v>
      </c>
      <c r="G33" t="s">
        <v>232</v>
      </c>
      <c r="H33" s="2">
        <v>16985</v>
      </c>
      <c r="I33" t="s">
        <v>233</v>
      </c>
      <c r="J33" t="s">
        <v>580</v>
      </c>
      <c r="K33" t="s">
        <v>406</v>
      </c>
      <c r="N33" t="str">
        <f t="shared" si="2"/>
        <v>Verplant</v>
      </c>
      <c r="O33" t="s">
        <v>17</v>
      </c>
      <c r="P33">
        <f t="shared" si="3"/>
        <v>3.5</v>
      </c>
    </row>
    <row r="34" spans="1:16" x14ac:dyDescent="0.25">
      <c r="A34">
        <v>33</v>
      </c>
      <c r="B34" t="s">
        <v>229</v>
      </c>
      <c r="C34" t="s">
        <v>234</v>
      </c>
      <c r="D34" t="s">
        <v>231</v>
      </c>
      <c r="E34">
        <v>35321</v>
      </c>
      <c r="F34" t="s">
        <v>23</v>
      </c>
      <c r="G34" t="s">
        <v>232</v>
      </c>
      <c r="H34" s="2">
        <v>21176</v>
      </c>
      <c r="I34" t="s">
        <v>235</v>
      </c>
      <c r="J34" t="s">
        <v>580</v>
      </c>
      <c r="K34" t="s">
        <v>406</v>
      </c>
      <c r="N34" t="str">
        <f t="shared" si="2"/>
        <v>Verplant</v>
      </c>
      <c r="O34" t="s">
        <v>17</v>
      </c>
      <c r="P34">
        <f t="shared" si="3"/>
        <v>3.5</v>
      </c>
    </row>
    <row r="35" spans="1:16" x14ac:dyDescent="0.25">
      <c r="A35">
        <v>34</v>
      </c>
      <c r="B35" t="s">
        <v>236</v>
      </c>
      <c r="C35" t="s">
        <v>237</v>
      </c>
      <c r="D35" t="s">
        <v>238</v>
      </c>
      <c r="E35">
        <v>35305</v>
      </c>
      <c r="F35" t="s">
        <v>239</v>
      </c>
      <c r="G35" t="s">
        <v>240</v>
      </c>
      <c r="H35" s="2">
        <v>13709</v>
      </c>
      <c r="I35" t="s">
        <v>241</v>
      </c>
      <c r="J35" t="s">
        <v>579</v>
      </c>
      <c r="K35" t="s">
        <v>402</v>
      </c>
      <c r="N35" t="str">
        <f t="shared" si="2"/>
        <v>Verplant</v>
      </c>
      <c r="O35" t="s">
        <v>17</v>
      </c>
      <c r="P35">
        <f t="shared" si="3"/>
        <v>3.5</v>
      </c>
    </row>
    <row r="36" spans="1:16" x14ac:dyDescent="0.25">
      <c r="A36">
        <v>35</v>
      </c>
      <c r="B36" t="s">
        <v>242</v>
      </c>
      <c r="C36" t="s">
        <v>243</v>
      </c>
      <c r="D36" t="s">
        <v>244</v>
      </c>
      <c r="E36">
        <v>35418</v>
      </c>
      <c r="F36" t="s">
        <v>245</v>
      </c>
      <c r="G36" t="s">
        <v>246</v>
      </c>
      <c r="H36" s="2">
        <v>13893</v>
      </c>
      <c r="I36" t="s">
        <v>247</v>
      </c>
      <c r="J36" t="s">
        <v>580</v>
      </c>
      <c r="K36" t="s">
        <v>401</v>
      </c>
      <c r="N36" t="str">
        <f t="shared" si="2"/>
        <v>Verplant</v>
      </c>
      <c r="O36" t="s">
        <v>17</v>
      </c>
      <c r="P36">
        <f t="shared" si="3"/>
        <v>3.5</v>
      </c>
    </row>
    <row r="37" spans="1:16" x14ac:dyDescent="0.25">
      <c r="A37">
        <v>36</v>
      </c>
      <c r="B37" t="s">
        <v>517</v>
      </c>
      <c r="C37" t="s">
        <v>249</v>
      </c>
      <c r="D37" t="s">
        <v>250</v>
      </c>
      <c r="E37">
        <v>35325</v>
      </c>
      <c r="F37" t="s">
        <v>251</v>
      </c>
      <c r="G37" t="s">
        <v>252</v>
      </c>
      <c r="H37" s="2">
        <v>20264</v>
      </c>
      <c r="I37" t="s">
        <v>253</v>
      </c>
      <c r="J37" t="s">
        <v>579</v>
      </c>
      <c r="K37" t="s">
        <v>408</v>
      </c>
      <c r="N37" t="str">
        <f t="shared" si="2"/>
        <v>Verplant</v>
      </c>
      <c r="O37" t="s">
        <v>17</v>
      </c>
      <c r="P37">
        <f t="shared" si="3"/>
        <v>3.5</v>
      </c>
    </row>
    <row r="38" spans="1:16" x14ac:dyDescent="0.25">
      <c r="A38">
        <v>37</v>
      </c>
      <c r="B38" t="s">
        <v>254</v>
      </c>
      <c r="C38" t="s">
        <v>255</v>
      </c>
      <c r="D38" t="s">
        <v>256</v>
      </c>
      <c r="E38">
        <v>35390</v>
      </c>
      <c r="F38" t="s">
        <v>257</v>
      </c>
      <c r="G38" t="s">
        <v>258</v>
      </c>
      <c r="H38" s="2">
        <v>15105</v>
      </c>
      <c r="I38" t="s">
        <v>259</v>
      </c>
      <c r="J38" t="s">
        <v>578</v>
      </c>
      <c r="K38" t="s">
        <v>406</v>
      </c>
      <c r="N38" t="str">
        <f t="shared" si="2"/>
        <v>Verplant</v>
      </c>
      <c r="O38" t="s">
        <v>17</v>
      </c>
      <c r="P38">
        <f t="shared" si="3"/>
        <v>3.5</v>
      </c>
    </row>
    <row r="39" spans="1:16" x14ac:dyDescent="0.25">
      <c r="A39">
        <v>38</v>
      </c>
      <c r="B39" t="s">
        <v>260</v>
      </c>
      <c r="C39" t="s">
        <v>261</v>
      </c>
      <c r="D39" t="s">
        <v>262</v>
      </c>
      <c r="E39">
        <v>35418</v>
      </c>
      <c r="F39" t="s">
        <v>263</v>
      </c>
      <c r="G39" t="s">
        <v>264</v>
      </c>
      <c r="H39" s="2">
        <v>13499</v>
      </c>
      <c r="I39" t="s">
        <v>265</v>
      </c>
      <c r="J39" t="s">
        <v>580</v>
      </c>
      <c r="K39" t="s">
        <v>401</v>
      </c>
      <c r="L39" s="4">
        <v>901</v>
      </c>
      <c r="N39" t="str">
        <f t="shared" si="2"/>
        <v>Verplant</v>
      </c>
      <c r="O39" t="s">
        <v>17</v>
      </c>
      <c r="P39">
        <f t="shared" si="3"/>
        <v>3.5</v>
      </c>
    </row>
    <row r="40" spans="1:16" x14ac:dyDescent="0.25">
      <c r="A40">
        <v>39</v>
      </c>
      <c r="B40" t="s">
        <v>266</v>
      </c>
      <c r="C40" t="s">
        <v>184</v>
      </c>
      <c r="D40" t="s">
        <v>267</v>
      </c>
      <c r="E40">
        <v>35418</v>
      </c>
      <c r="F40" t="s">
        <v>245</v>
      </c>
      <c r="G40" t="s">
        <v>268</v>
      </c>
      <c r="H40" s="2">
        <v>11937</v>
      </c>
      <c r="I40" t="s">
        <v>269</v>
      </c>
      <c r="J40" t="s">
        <v>577</v>
      </c>
      <c r="K40" t="s">
        <v>671</v>
      </c>
      <c r="N40" t="str">
        <f t="shared" si="2"/>
        <v>Verplant</v>
      </c>
      <c r="O40" t="s">
        <v>17</v>
      </c>
      <c r="P40">
        <f t="shared" si="3"/>
        <v>3.5</v>
      </c>
    </row>
    <row r="41" spans="1:16" x14ac:dyDescent="0.25">
      <c r="A41">
        <v>40</v>
      </c>
      <c r="B41" t="s">
        <v>592</v>
      </c>
      <c r="C41" t="s">
        <v>270</v>
      </c>
      <c r="D41" t="s">
        <v>271</v>
      </c>
      <c r="E41">
        <v>35398</v>
      </c>
      <c r="F41" t="s">
        <v>272</v>
      </c>
      <c r="G41" t="s">
        <v>273</v>
      </c>
      <c r="H41" s="2">
        <v>15123</v>
      </c>
      <c r="I41" t="s">
        <v>274</v>
      </c>
      <c r="J41" t="s">
        <v>577</v>
      </c>
      <c r="K41" t="s">
        <v>406</v>
      </c>
      <c r="N41" t="str">
        <f t="shared" si="2"/>
        <v>Verplant</v>
      </c>
      <c r="O41" t="s">
        <v>17</v>
      </c>
      <c r="P41">
        <f t="shared" si="3"/>
        <v>3.5</v>
      </c>
    </row>
    <row r="42" spans="1:16" x14ac:dyDescent="0.25">
      <c r="A42">
        <v>41</v>
      </c>
      <c r="B42" t="s">
        <v>275</v>
      </c>
      <c r="C42" t="s">
        <v>276</v>
      </c>
      <c r="D42" t="s">
        <v>277</v>
      </c>
      <c r="E42">
        <v>35435</v>
      </c>
      <c r="F42" t="s">
        <v>40</v>
      </c>
      <c r="G42" t="s">
        <v>278</v>
      </c>
      <c r="H42" s="2">
        <v>15099</v>
      </c>
      <c r="I42" t="s">
        <v>279</v>
      </c>
      <c r="J42" t="s">
        <v>580</v>
      </c>
      <c r="K42" t="s">
        <v>404</v>
      </c>
      <c r="N42" t="str">
        <f t="shared" si="2"/>
        <v>Verplant</v>
      </c>
      <c r="O42" t="s">
        <v>17</v>
      </c>
      <c r="P42">
        <f t="shared" si="3"/>
        <v>3.5</v>
      </c>
    </row>
    <row r="43" spans="1:16" x14ac:dyDescent="0.25">
      <c r="A43">
        <v>42</v>
      </c>
      <c r="B43" t="s">
        <v>280</v>
      </c>
      <c r="C43" t="s">
        <v>281</v>
      </c>
      <c r="D43" t="s">
        <v>282</v>
      </c>
      <c r="E43">
        <v>35435</v>
      </c>
      <c r="F43" t="s">
        <v>40</v>
      </c>
      <c r="G43" t="s">
        <v>283</v>
      </c>
      <c r="H43" s="2">
        <v>12472</v>
      </c>
      <c r="I43" t="s">
        <v>284</v>
      </c>
      <c r="J43" t="s">
        <v>580</v>
      </c>
      <c r="K43" t="s">
        <v>404</v>
      </c>
      <c r="N43" t="str">
        <f t="shared" si="2"/>
        <v>Verplant</v>
      </c>
      <c r="O43" t="s">
        <v>17</v>
      </c>
      <c r="P43">
        <f t="shared" si="3"/>
        <v>3.5</v>
      </c>
    </row>
    <row r="44" spans="1:16" x14ac:dyDescent="0.25">
      <c r="A44">
        <v>43</v>
      </c>
      <c r="B44" t="s">
        <v>285</v>
      </c>
      <c r="C44" t="s">
        <v>286</v>
      </c>
      <c r="D44" t="s">
        <v>50</v>
      </c>
      <c r="E44">
        <v>35325</v>
      </c>
      <c r="F44" t="s">
        <v>23</v>
      </c>
      <c r="G44" t="s">
        <v>287</v>
      </c>
      <c r="H44" s="2">
        <v>17355</v>
      </c>
      <c r="J44" t="s">
        <v>602</v>
      </c>
      <c r="K44" t="s">
        <v>407</v>
      </c>
      <c r="N44" t="str">
        <f t="shared" si="2"/>
        <v>Verplant</v>
      </c>
      <c r="O44" t="s">
        <v>17</v>
      </c>
      <c r="P44">
        <f t="shared" si="3"/>
        <v>3.5</v>
      </c>
    </row>
    <row r="45" spans="1:16" x14ac:dyDescent="0.25">
      <c r="A45">
        <v>44</v>
      </c>
      <c r="B45" t="s">
        <v>288</v>
      </c>
      <c r="C45" t="s">
        <v>281</v>
      </c>
      <c r="D45" t="s">
        <v>289</v>
      </c>
      <c r="E45">
        <v>35435</v>
      </c>
      <c r="F45" t="s">
        <v>40</v>
      </c>
      <c r="G45" t="s">
        <v>290</v>
      </c>
      <c r="H45" s="2">
        <v>11471</v>
      </c>
      <c r="I45" t="s">
        <v>291</v>
      </c>
      <c r="J45" t="s">
        <v>581</v>
      </c>
      <c r="K45" t="s">
        <v>404</v>
      </c>
      <c r="N45" t="str">
        <f t="shared" si="2"/>
        <v>Verplant</v>
      </c>
      <c r="O45" t="s">
        <v>17</v>
      </c>
      <c r="P45">
        <f t="shared" si="3"/>
        <v>3.5</v>
      </c>
    </row>
    <row r="46" spans="1:16" x14ac:dyDescent="0.25">
      <c r="A46">
        <v>45</v>
      </c>
      <c r="B46" t="s">
        <v>292</v>
      </c>
      <c r="C46" t="s">
        <v>293</v>
      </c>
      <c r="D46" t="s">
        <v>294</v>
      </c>
      <c r="E46">
        <v>35418</v>
      </c>
      <c r="F46" t="s">
        <v>245</v>
      </c>
      <c r="G46" t="s">
        <v>295</v>
      </c>
      <c r="H46" s="2">
        <v>19786</v>
      </c>
      <c r="I46" t="s">
        <v>296</v>
      </c>
      <c r="J46" t="s">
        <v>581</v>
      </c>
      <c r="K46" t="s">
        <v>401</v>
      </c>
      <c r="N46" t="s">
        <v>683</v>
      </c>
      <c r="O46" t="s">
        <v>17</v>
      </c>
      <c r="P46" t="str">
        <f t="shared" si="3"/>
        <v/>
      </c>
    </row>
    <row r="47" spans="1:16" x14ac:dyDescent="0.25">
      <c r="A47">
        <v>46</v>
      </c>
      <c r="B47" t="s">
        <v>297</v>
      </c>
      <c r="C47" t="s">
        <v>298</v>
      </c>
      <c r="D47" t="s">
        <v>299</v>
      </c>
      <c r="E47">
        <v>35435</v>
      </c>
      <c r="F47" t="s">
        <v>40</v>
      </c>
      <c r="G47" t="s">
        <v>300</v>
      </c>
      <c r="H47" s="2">
        <v>16645</v>
      </c>
      <c r="I47" t="s">
        <v>301</v>
      </c>
      <c r="J47" t="s">
        <v>581</v>
      </c>
      <c r="K47" t="s">
        <v>404</v>
      </c>
      <c r="N47" t="str">
        <f t="shared" si="2"/>
        <v>Verplant</v>
      </c>
      <c r="O47" t="s">
        <v>17</v>
      </c>
      <c r="P47">
        <f t="shared" si="3"/>
        <v>3.5</v>
      </c>
    </row>
    <row r="48" spans="1:16" x14ac:dyDescent="0.25">
      <c r="A48">
        <v>47</v>
      </c>
      <c r="B48" t="s">
        <v>302</v>
      </c>
      <c r="C48" t="s">
        <v>303</v>
      </c>
      <c r="D48" t="s">
        <v>304</v>
      </c>
      <c r="E48">
        <v>35463</v>
      </c>
      <c r="F48" t="s">
        <v>305</v>
      </c>
      <c r="G48" t="s">
        <v>306</v>
      </c>
      <c r="H48" s="2">
        <v>40846</v>
      </c>
      <c r="I48" t="s">
        <v>307</v>
      </c>
      <c r="J48" t="s">
        <v>580</v>
      </c>
      <c r="K48" t="s">
        <v>402</v>
      </c>
      <c r="N48" t="str">
        <f t="shared" si="2"/>
        <v>Verplant</v>
      </c>
      <c r="O48" t="s">
        <v>17</v>
      </c>
      <c r="P48">
        <f t="shared" si="3"/>
        <v>3.5</v>
      </c>
    </row>
    <row r="49" spans="1:17" x14ac:dyDescent="0.25">
      <c r="A49">
        <v>48</v>
      </c>
      <c r="B49" t="s">
        <v>308</v>
      </c>
      <c r="C49" t="s">
        <v>309</v>
      </c>
      <c r="D49" t="s">
        <v>56</v>
      </c>
      <c r="E49">
        <v>35325</v>
      </c>
      <c r="F49" t="s">
        <v>23</v>
      </c>
      <c r="G49" t="s">
        <v>310</v>
      </c>
      <c r="H49" s="2">
        <v>15309</v>
      </c>
      <c r="I49" t="s">
        <v>311</v>
      </c>
      <c r="J49" t="s">
        <v>577</v>
      </c>
      <c r="K49" t="s">
        <v>409</v>
      </c>
      <c r="M49" t="s">
        <v>413</v>
      </c>
      <c r="N49" t="str">
        <f t="shared" si="2"/>
        <v>Verplant</v>
      </c>
      <c r="O49" t="s">
        <v>17</v>
      </c>
      <c r="P49">
        <f t="shared" si="3"/>
        <v>3.5</v>
      </c>
    </row>
    <row r="50" spans="1:17" x14ac:dyDescent="0.25">
      <c r="A50">
        <v>49</v>
      </c>
      <c r="B50" t="s">
        <v>312</v>
      </c>
      <c r="C50" t="s">
        <v>313</v>
      </c>
      <c r="D50" t="s">
        <v>314</v>
      </c>
      <c r="E50">
        <v>35457</v>
      </c>
      <c r="F50" t="s">
        <v>315</v>
      </c>
      <c r="G50" t="s">
        <v>316</v>
      </c>
      <c r="H50" s="2">
        <v>17233</v>
      </c>
      <c r="I50" t="s">
        <v>317</v>
      </c>
      <c r="J50" t="s">
        <v>581</v>
      </c>
      <c r="K50" t="s">
        <v>404</v>
      </c>
      <c r="N50" t="str">
        <f t="shared" si="2"/>
        <v>Verplant</v>
      </c>
      <c r="O50" t="s">
        <v>17</v>
      </c>
      <c r="P50">
        <f t="shared" si="3"/>
        <v>3.5</v>
      </c>
    </row>
    <row r="51" spans="1:17" x14ac:dyDescent="0.25">
      <c r="A51">
        <v>50</v>
      </c>
      <c r="B51" t="s">
        <v>318</v>
      </c>
      <c r="C51" t="s">
        <v>319</v>
      </c>
      <c r="D51" t="s">
        <v>320</v>
      </c>
      <c r="E51">
        <v>35325</v>
      </c>
      <c r="F51" t="s">
        <v>23</v>
      </c>
      <c r="G51" t="s">
        <v>321</v>
      </c>
      <c r="H51" s="2">
        <v>13482</v>
      </c>
      <c r="I51" t="s">
        <v>322</v>
      </c>
      <c r="J51" t="s">
        <v>577</v>
      </c>
      <c r="K51" t="s">
        <v>402</v>
      </c>
      <c r="N51" t="str">
        <f t="shared" si="2"/>
        <v>Verplant</v>
      </c>
      <c r="O51" t="s">
        <v>17</v>
      </c>
      <c r="P51">
        <f t="shared" si="3"/>
        <v>3.5</v>
      </c>
    </row>
    <row r="52" spans="1:17" x14ac:dyDescent="0.25">
      <c r="A52">
        <v>51</v>
      </c>
      <c r="B52" t="s">
        <v>323</v>
      </c>
      <c r="C52" t="s">
        <v>324</v>
      </c>
      <c r="D52" t="s">
        <v>325</v>
      </c>
      <c r="E52">
        <v>35305</v>
      </c>
      <c r="F52" t="s">
        <v>45</v>
      </c>
      <c r="G52" t="s">
        <v>326</v>
      </c>
      <c r="H52" s="2">
        <v>22229</v>
      </c>
      <c r="I52" t="s">
        <v>622</v>
      </c>
      <c r="J52" t="s">
        <v>577</v>
      </c>
      <c r="K52" t="s">
        <v>410</v>
      </c>
      <c r="M52" t="s">
        <v>413</v>
      </c>
      <c r="N52" t="str">
        <f t="shared" si="2"/>
        <v>Verplant</v>
      </c>
      <c r="O52" t="s">
        <v>17</v>
      </c>
      <c r="P52">
        <f t="shared" si="3"/>
        <v>3.5</v>
      </c>
    </row>
    <row r="53" spans="1:17" x14ac:dyDescent="0.25">
      <c r="A53">
        <v>52</v>
      </c>
      <c r="B53" t="s">
        <v>323</v>
      </c>
      <c r="C53" t="s">
        <v>327</v>
      </c>
      <c r="D53" t="s">
        <v>325</v>
      </c>
      <c r="E53">
        <v>35305</v>
      </c>
      <c r="F53" t="s">
        <v>45</v>
      </c>
      <c r="G53" t="s">
        <v>326</v>
      </c>
      <c r="H53" s="2">
        <v>23639</v>
      </c>
      <c r="I53" t="s">
        <v>328</v>
      </c>
      <c r="J53" t="s">
        <v>581</v>
      </c>
      <c r="K53" t="s">
        <v>410</v>
      </c>
      <c r="M53" t="s">
        <v>413</v>
      </c>
      <c r="N53" t="str">
        <f t="shared" si="2"/>
        <v>Verplant</v>
      </c>
      <c r="O53" t="s">
        <v>17</v>
      </c>
      <c r="P53">
        <f t="shared" si="3"/>
        <v>3.5</v>
      </c>
    </row>
    <row r="54" spans="1:17" x14ac:dyDescent="0.25">
      <c r="A54">
        <v>53</v>
      </c>
      <c r="B54" t="s">
        <v>329</v>
      </c>
      <c r="C54" t="s">
        <v>330</v>
      </c>
      <c r="D54" t="s">
        <v>331</v>
      </c>
      <c r="E54">
        <v>35423</v>
      </c>
      <c r="F54" t="s">
        <v>198</v>
      </c>
      <c r="G54" t="s">
        <v>332</v>
      </c>
      <c r="H54" s="2">
        <v>17372</v>
      </c>
      <c r="I54" t="s">
        <v>333</v>
      </c>
      <c r="J54" t="s">
        <v>579</v>
      </c>
      <c r="K54" t="s">
        <v>406</v>
      </c>
      <c r="N54" t="str">
        <f t="shared" si="2"/>
        <v>Verplant</v>
      </c>
      <c r="O54" t="s">
        <v>17</v>
      </c>
      <c r="P54">
        <f t="shared" si="3"/>
        <v>3.5</v>
      </c>
      <c r="Q54" t="s">
        <v>674</v>
      </c>
    </row>
    <row r="55" spans="1:17" x14ac:dyDescent="0.25">
      <c r="A55">
        <v>54</v>
      </c>
      <c r="B55" t="s">
        <v>334</v>
      </c>
      <c r="C55" t="s">
        <v>335</v>
      </c>
      <c r="D55" t="s">
        <v>336</v>
      </c>
      <c r="E55">
        <v>35305</v>
      </c>
      <c r="F55" t="s">
        <v>45</v>
      </c>
      <c r="G55" t="s">
        <v>337</v>
      </c>
      <c r="H55" s="2">
        <v>14427</v>
      </c>
      <c r="I55" t="s">
        <v>338</v>
      </c>
      <c r="J55" t="s">
        <v>590</v>
      </c>
      <c r="K55" t="s">
        <v>402</v>
      </c>
      <c r="N55" t="str">
        <f t="shared" si="2"/>
        <v>Verplant</v>
      </c>
      <c r="O55" t="s">
        <v>17</v>
      </c>
      <c r="P55">
        <f t="shared" si="3"/>
        <v>3.5</v>
      </c>
    </row>
    <row r="56" spans="1:17" x14ac:dyDescent="0.25">
      <c r="A56">
        <v>55</v>
      </c>
      <c r="B56" t="s">
        <v>334</v>
      </c>
      <c r="C56" t="s">
        <v>123</v>
      </c>
      <c r="D56" t="s">
        <v>339</v>
      </c>
      <c r="E56">
        <v>35325</v>
      </c>
      <c r="F56" t="s">
        <v>23</v>
      </c>
      <c r="G56" t="s">
        <v>340</v>
      </c>
      <c r="H56" s="2">
        <v>13325</v>
      </c>
      <c r="I56" t="s">
        <v>341</v>
      </c>
      <c r="J56" t="s">
        <v>577</v>
      </c>
      <c r="K56" t="s">
        <v>403</v>
      </c>
      <c r="N56" t="str">
        <f t="shared" si="2"/>
        <v>Verplant</v>
      </c>
      <c r="O56" t="s">
        <v>17</v>
      </c>
      <c r="P56">
        <f t="shared" si="3"/>
        <v>3.5</v>
      </c>
    </row>
    <row r="57" spans="1:17" x14ac:dyDescent="0.25">
      <c r="A57">
        <v>56</v>
      </c>
      <c r="B57" t="s">
        <v>334</v>
      </c>
      <c r="C57" t="s">
        <v>342</v>
      </c>
      <c r="D57" t="s">
        <v>339</v>
      </c>
      <c r="E57">
        <v>35325</v>
      </c>
      <c r="F57" t="s">
        <v>23</v>
      </c>
      <c r="G57" t="s">
        <v>340</v>
      </c>
      <c r="H57" s="2">
        <v>13297</v>
      </c>
      <c r="I57" t="s">
        <v>343</v>
      </c>
      <c r="J57" t="s">
        <v>577</v>
      </c>
      <c r="K57" t="s">
        <v>403</v>
      </c>
      <c r="N57" t="str">
        <f t="shared" si="2"/>
        <v>Verplant</v>
      </c>
      <c r="O57" t="s">
        <v>17</v>
      </c>
      <c r="P57">
        <f t="shared" si="3"/>
        <v>3.5</v>
      </c>
    </row>
    <row r="58" spans="1:17" x14ac:dyDescent="0.25">
      <c r="A58">
        <v>57</v>
      </c>
      <c r="B58" t="s">
        <v>344</v>
      </c>
      <c r="C58" t="s">
        <v>345</v>
      </c>
      <c r="D58" t="s">
        <v>346</v>
      </c>
      <c r="E58">
        <v>35305</v>
      </c>
      <c r="F58" t="s">
        <v>45</v>
      </c>
      <c r="G58" t="s">
        <v>347</v>
      </c>
      <c r="H58" s="2">
        <v>17693</v>
      </c>
      <c r="I58" t="s">
        <v>348</v>
      </c>
      <c r="J58" t="s">
        <v>577</v>
      </c>
      <c r="K58" t="s">
        <v>402</v>
      </c>
      <c r="N58" t="str">
        <f t="shared" si="2"/>
        <v>Verplant</v>
      </c>
      <c r="O58" t="s">
        <v>17</v>
      </c>
      <c r="P58">
        <f t="shared" si="3"/>
        <v>3.5</v>
      </c>
    </row>
    <row r="59" spans="1:17" x14ac:dyDescent="0.25">
      <c r="A59">
        <v>58</v>
      </c>
      <c r="B59" t="s">
        <v>349</v>
      </c>
      <c r="C59" t="s">
        <v>350</v>
      </c>
      <c r="D59" t="s">
        <v>351</v>
      </c>
      <c r="E59">
        <v>35305</v>
      </c>
      <c r="F59" t="s">
        <v>45</v>
      </c>
      <c r="G59" t="s">
        <v>352</v>
      </c>
      <c r="H59" s="2">
        <v>43540</v>
      </c>
      <c r="I59" t="s">
        <v>353</v>
      </c>
      <c r="J59" t="s">
        <v>577</v>
      </c>
      <c r="K59" t="s">
        <v>411</v>
      </c>
      <c r="N59" t="str">
        <f t="shared" si="2"/>
        <v>Verplant</v>
      </c>
      <c r="O59" t="s">
        <v>17</v>
      </c>
      <c r="P59">
        <f t="shared" si="3"/>
        <v>3.5</v>
      </c>
    </row>
    <row r="60" spans="1:17" x14ac:dyDescent="0.25">
      <c r="A60">
        <v>59</v>
      </c>
      <c r="B60" t="s">
        <v>354</v>
      </c>
      <c r="C60" t="s">
        <v>355</v>
      </c>
      <c r="D60" t="s">
        <v>356</v>
      </c>
      <c r="E60">
        <v>35447</v>
      </c>
      <c r="F60" t="s">
        <v>357</v>
      </c>
      <c r="G60" t="s">
        <v>358</v>
      </c>
      <c r="H60" s="2">
        <v>17669</v>
      </c>
      <c r="I60" t="s">
        <v>359</v>
      </c>
      <c r="J60" t="s">
        <v>577</v>
      </c>
      <c r="K60" t="s">
        <v>402</v>
      </c>
      <c r="N60" t="str">
        <f t="shared" si="2"/>
        <v>Verplant</v>
      </c>
      <c r="O60" t="s">
        <v>17</v>
      </c>
      <c r="P60">
        <f t="shared" si="3"/>
        <v>3.5</v>
      </c>
    </row>
    <row r="61" spans="1:17" x14ac:dyDescent="0.25">
      <c r="A61">
        <v>60</v>
      </c>
      <c r="B61" t="s">
        <v>354</v>
      </c>
      <c r="C61" t="s">
        <v>360</v>
      </c>
      <c r="D61" t="s">
        <v>356</v>
      </c>
      <c r="E61">
        <v>35447</v>
      </c>
      <c r="F61" t="s">
        <v>357</v>
      </c>
      <c r="G61" t="s">
        <v>358</v>
      </c>
      <c r="H61" s="2">
        <v>16604</v>
      </c>
      <c r="I61" t="s">
        <v>361</v>
      </c>
      <c r="J61" t="s">
        <v>577</v>
      </c>
      <c r="K61" t="s">
        <v>402</v>
      </c>
      <c r="N61" t="str">
        <f t="shared" si="2"/>
        <v>Verplant</v>
      </c>
      <c r="O61" t="s">
        <v>17</v>
      </c>
      <c r="P61">
        <f t="shared" si="3"/>
        <v>3.5</v>
      </c>
    </row>
    <row r="62" spans="1:17" x14ac:dyDescent="0.25">
      <c r="A62">
        <v>61</v>
      </c>
      <c r="B62" t="s">
        <v>362</v>
      </c>
      <c r="C62" t="s">
        <v>363</v>
      </c>
      <c r="D62" t="s">
        <v>364</v>
      </c>
      <c r="E62">
        <v>35325</v>
      </c>
      <c r="F62" t="s">
        <v>23</v>
      </c>
      <c r="G62" t="s">
        <v>365</v>
      </c>
      <c r="H62" s="2">
        <v>13980</v>
      </c>
      <c r="I62" t="s">
        <v>366</v>
      </c>
      <c r="J62" t="s">
        <v>577</v>
      </c>
      <c r="K62" t="s">
        <v>406</v>
      </c>
      <c r="N62" t="str">
        <f t="shared" si="2"/>
        <v>Verplant</v>
      </c>
      <c r="O62" t="s">
        <v>17</v>
      </c>
      <c r="P62">
        <f t="shared" si="3"/>
        <v>3.5</v>
      </c>
      <c r="Q62" t="s">
        <v>674</v>
      </c>
    </row>
    <row r="63" spans="1:17" x14ac:dyDescent="0.25">
      <c r="A63">
        <v>62</v>
      </c>
      <c r="B63" t="s">
        <v>367</v>
      </c>
      <c r="C63" t="s">
        <v>368</v>
      </c>
      <c r="D63" t="s">
        <v>369</v>
      </c>
      <c r="E63">
        <v>35305</v>
      </c>
      <c r="F63" t="s">
        <v>45</v>
      </c>
      <c r="G63" t="s">
        <v>370</v>
      </c>
      <c r="H63" s="2">
        <v>14979</v>
      </c>
      <c r="I63" t="s">
        <v>371</v>
      </c>
      <c r="J63" t="s">
        <v>577</v>
      </c>
      <c r="K63" t="s">
        <v>402</v>
      </c>
      <c r="N63" t="str">
        <f t="shared" si="2"/>
        <v>Verplant</v>
      </c>
      <c r="O63" t="s">
        <v>17</v>
      </c>
      <c r="P63">
        <f t="shared" si="3"/>
        <v>3.5</v>
      </c>
    </row>
    <row r="64" spans="1:17" x14ac:dyDescent="0.25">
      <c r="A64">
        <v>63</v>
      </c>
      <c r="B64" t="s">
        <v>367</v>
      </c>
      <c r="C64" t="s">
        <v>372</v>
      </c>
      <c r="D64" t="s">
        <v>369</v>
      </c>
      <c r="E64">
        <v>35305</v>
      </c>
      <c r="F64" t="s">
        <v>45</v>
      </c>
      <c r="G64" t="s">
        <v>373</v>
      </c>
      <c r="H64" s="2">
        <v>23521</v>
      </c>
      <c r="I64" t="s">
        <v>374</v>
      </c>
      <c r="J64" t="s">
        <v>577</v>
      </c>
      <c r="K64" t="s">
        <v>402</v>
      </c>
      <c r="N64" t="str">
        <f t="shared" si="2"/>
        <v>Verplant</v>
      </c>
      <c r="O64" t="s">
        <v>17</v>
      </c>
      <c r="P64">
        <f t="shared" si="3"/>
        <v>3.5</v>
      </c>
    </row>
    <row r="65" spans="1:16" x14ac:dyDescent="0.25">
      <c r="A65">
        <v>64</v>
      </c>
      <c r="B65" t="s">
        <v>375</v>
      </c>
      <c r="C65" t="s">
        <v>376</v>
      </c>
      <c r="D65" t="s">
        <v>377</v>
      </c>
      <c r="E65">
        <v>36325</v>
      </c>
      <c r="F65" t="s">
        <v>378</v>
      </c>
      <c r="G65" t="s">
        <v>379</v>
      </c>
      <c r="H65" s="2">
        <v>13284</v>
      </c>
      <c r="I65" t="s">
        <v>380</v>
      </c>
      <c r="J65" t="s">
        <v>577</v>
      </c>
      <c r="K65" t="s">
        <v>677</v>
      </c>
      <c r="N65" t="str">
        <f t="shared" si="2"/>
        <v>Verplant</v>
      </c>
      <c r="O65" t="s">
        <v>17</v>
      </c>
      <c r="P65">
        <f t="shared" si="3"/>
        <v>3.5</v>
      </c>
    </row>
    <row r="66" spans="1:16" x14ac:dyDescent="0.25">
      <c r="A66">
        <v>65</v>
      </c>
      <c r="B66" t="s">
        <v>381</v>
      </c>
      <c r="C66" t="s">
        <v>382</v>
      </c>
      <c r="D66" t="s">
        <v>383</v>
      </c>
      <c r="E66">
        <v>35418</v>
      </c>
      <c r="F66" t="s">
        <v>245</v>
      </c>
      <c r="G66" t="s">
        <v>384</v>
      </c>
      <c r="H66" s="2">
        <v>17507</v>
      </c>
      <c r="I66" t="s">
        <v>385</v>
      </c>
      <c r="J66" t="s">
        <v>581</v>
      </c>
      <c r="K66" t="s">
        <v>402</v>
      </c>
      <c r="N66" t="str">
        <f t="shared" si="2"/>
        <v>Verplant</v>
      </c>
      <c r="O66" t="s">
        <v>17</v>
      </c>
      <c r="P66">
        <f t="shared" si="3"/>
        <v>3.5</v>
      </c>
    </row>
    <row r="67" spans="1:16" x14ac:dyDescent="0.25">
      <c r="A67">
        <v>66</v>
      </c>
      <c r="B67" t="s">
        <v>386</v>
      </c>
      <c r="C67" t="s">
        <v>387</v>
      </c>
      <c r="D67" t="s">
        <v>388</v>
      </c>
      <c r="E67">
        <v>35435</v>
      </c>
      <c r="F67" t="s">
        <v>40</v>
      </c>
      <c r="G67" t="s">
        <v>389</v>
      </c>
      <c r="H67" s="2">
        <v>12211</v>
      </c>
      <c r="I67" t="s">
        <v>390</v>
      </c>
      <c r="J67" t="s">
        <v>581</v>
      </c>
      <c r="K67" t="s">
        <v>404</v>
      </c>
      <c r="N67" t="str">
        <f t="shared" si="2"/>
        <v>Verplant</v>
      </c>
      <c r="O67" t="s">
        <v>17</v>
      </c>
      <c r="P67">
        <f t="shared" si="3"/>
        <v>3.5</v>
      </c>
    </row>
    <row r="68" spans="1:16" x14ac:dyDescent="0.25">
      <c r="A68">
        <v>67</v>
      </c>
      <c r="B68" t="s">
        <v>391</v>
      </c>
      <c r="C68" t="s">
        <v>248</v>
      </c>
      <c r="D68" t="s">
        <v>392</v>
      </c>
      <c r="E68">
        <v>35466</v>
      </c>
      <c r="F68" t="s">
        <v>393</v>
      </c>
      <c r="G68" t="s">
        <v>394</v>
      </c>
      <c r="H68" s="2">
        <v>17167</v>
      </c>
      <c r="I68" t="s">
        <v>395</v>
      </c>
      <c r="J68" t="s">
        <v>581</v>
      </c>
      <c r="N68" t="str">
        <f t="shared" si="2"/>
        <v>Unverplant</v>
      </c>
      <c r="O68" t="s">
        <v>17</v>
      </c>
      <c r="P68" t="str">
        <f t="shared" si="3"/>
        <v/>
      </c>
    </row>
    <row r="69" spans="1:16" x14ac:dyDescent="0.25">
      <c r="A69">
        <v>68</v>
      </c>
      <c r="B69" t="s">
        <v>396</v>
      </c>
      <c r="C69" t="s">
        <v>397</v>
      </c>
      <c r="D69" t="s">
        <v>398</v>
      </c>
      <c r="E69">
        <v>35305</v>
      </c>
      <c r="F69" t="s">
        <v>45</v>
      </c>
      <c r="G69" t="s">
        <v>399</v>
      </c>
      <c r="H69" s="2">
        <v>25823</v>
      </c>
      <c r="I69" t="s">
        <v>400</v>
      </c>
      <c r="J69" t="s">
        <v>578</v>
      </c>
      <c r="K69" t="s">
        <v>412</v>
      </c>
      <c r="N69" t="str">
        <f t="shared" si="2"/>
        <v>Verplant</v>
      </c>
      <c r="O69" t="s">
        <v>17</v>
      </c>
      <c r="P69">
        <f t="shared" si="3"/>
        <v>3.5</v>
      </c>
    </row>
    <row r="70" spans="1:16" x14ac:dyDescent="0.25">
      <c r="A70">
        <v>69</v>
      </c>
      <c r="B70" t="s">
        <v>128</v>
      </c>
      <c r="C70" t="s">
        <v>414</v>
      </c>
      <c r="D70" t="s">
        <v>415</v>
      </c>
      <c r="E70">
        <v>35325</v>
      </c>
      <c r="F70" t="s">
        <v>23</v>
      </c>
      <c r="G70" t="s">
        <v>416</v>
      </c>
      <c r="H70" s="2">
        <v>19772</v>
      </c>
      <c r="I70" t="s">
        <v>417</v>
      </c>
      <c r="J70" t="s">
        <v>577</v>
      </c>
      <c r="K70" t="s">
        <v>408</v>
      </c>
      <c r="N70" t="str">
        <f t="shared" si="2"/>
        <v>Verplant</v>
      </c>
      <c r="O70" t="s">
        <v>17</v>
      </c>
      <c r="P70">
        <f t="shared" si="3"/>
        <v>3.5</v>
      </c>
    </row>
    <row r="71" spans="1:16" x14ac:dyDescent="0.25">
      <c r="A71">
        <v>70</v>
      </c>
      <c r="B71" t="s">
        <v>318</v>
      </c>
      <c r="C71" t="s">
        <v>243</v>
      </c>
      <c r="D71" t="s">
        <v>418</v>
      </c>
      <c r="E71">
        <v>35327</v>
      </c>
      <c r="F71" t="s">
        <v>419</v>
      </c>
      <c r="G71" t="s">
        <v>420</v>
      </c>
      <c r="H71" s="2">
        <v>14672</v>
      </c>
      <c r="I71" t="s">
        <v>421</v>
      </c>
      <c r="J71" t="s">
        <v>581</v>
      </c>
      <c r="K71" t="s">
        <v>677</v>
      </c>
      <c r="N71" t="str">
        <f t="shared" si="2"/>
        <v>Verplant</v>
      </c>
      <c r="O71" t="s">
        <v>17</v>
      </c>
      <c r="P71">
        <f t="shared" si="3"/>
        <v>3.5</v>
      </c>
    </row>
    <row r="72" spans="1:16" x14ac:dyDescent="0.25">
      <c r="A72">
        <v>71</v>
      </c>
      <c r="B72" t="s">
        <v>422</v>
      </c>
      <c r="C72" t="s">
        <v>423</v>
      </c>
      <c r="D72" t="s">
        <v>304</v>
      </c>
      <c r="E72">
        <v>35325</v>
      </c>
      <c r="F72" t="s">
        <v>23</v>
      </c>
      <c r="G72" t="s">
        <v>424</v>
      </c>
      <c r="H72" s="2">
        <v>18441</v>
      </c>
      <c r="I72" t="s">
        <v>425</v>
      </c>
      <c r="J72" t="s">
        <v>577</v>
      </c>
      <c r="K72" t="s">
        <v>406</v>
      </c>
      <c r="N72" t="str">
        <f t="shared" si="2"/>
        <v>Verplant</v>
      </c>
      <c r="O72" t="s">
        <v>17</v>
      </c>
      <c r="P72">
        <f t="shared" si="3"/>
        <v>3.5</v>
      </c>
    </row>
    <row r="73" spans="1:16" x14ac:dyDescent="0.25">
      <c r="A73">
        <v>72</v>
      </c>
      <c r="B73" t="s">
        <v>426</v>
      </c>
      <c r="C73" t="s">
        <v>243</v>
      </c>
      <c r="D73" t="s">
        <v>427</v>
      </c>
      <c r="E73">
        <v>35305</v>
      </c>
      <c r="F73" t="s">
        <v>45</v>
      </c>
      <c r="G73" t="s">
        <v>428</v>
      </c>
      <c r="H73" s="2">
        <v>13214</v>
      </c>
      <c r="I73" t="s">
        <v>429</v>
      </c>
      <c r="J73" t="s">
        <v>577</v>
      </c>
      <c r="K73" t="s">
        <v>406</v>
      </c>
      <c r="N73" t="str">
        <f t="shared" si="2"/>
        <v>Verplant</v>
      </c>
      <c r="O73" t="s">
        <v>17</v>
      </c>
      <c r="P73">
        <f t="shared" si="3"/>
        <v>3.5</v>
      </c>
    </row>
    <row r="74" spans="1:16" x14ac:dyDescent="0.25">
      <c r="A74">
        <v>73</v>
      </c>
      <c r="B74" t="s">
        <v>430</v>
      </c>
      <c r="C74" t="s">
        <v>342</v>
      </c>
      <c r="D74" t="s">
        <v>431</v>
      </c>
      <c r="E74">
        <v>35466</v>
      </c>
      <c r="F74" t="s">
        <v>393</v>
      </c>
      <c r="G74" t="s">
        <v>432</v>
      </c>
      <c r="H74" s="2">
        <v>19562</v>
      </c>
      <c r="I74" t="s">
        <v>433</v>
      </c>
      <c r="J74" t="s">
        <v>577</v>
      </c>
      <c r="K74" t="s">
        <v>406</v>
      </c>
      <c r="N74" t="str">
        <f t="shared" si="2"/>
        <v>Verplant</v>
      </c>
      <c r="O74" t="s">
        <v>17</v>
      </c>
      <c r="P74">
        <f t="shared" si="3"/>
        <v>3.5</v>
      </c>
    </row>
    <row r="75" spans="1:16" x14ac:dyDescent="0.25">
      <c r="A75">
        <v>74</v>
      </c>
      <c r="B75" t="s">
        <v>434</v>
      </c>
      <c r="C75" t="s">
        <v>435</v>
      </c>
      <c r="D75" t="s">
        <v>436</v>
      </c>
      <c r="E75">
        <v>35418</v>
      </c>
      <c r="F75" t="s">
        <v>437</v>
      </c>
      <c r="G75" t="s">
        <v>438</v>
      </c>
      <c r="H75" s="2">
        <v>24788</v>
      </c>
      <c r="I75" t="s">
        <v>439</v>
      </c>
      <c r="J75" t="s">
        <v>580</v>
      </c>
      <c r="K75" t="s">
        <v>406</v>
      </c>
      <c r="N75" t="str">
        <f t="shared" si="2"/>
        <v>Verplant</v>
      </c>
      <c r="O75" t="s">
        <v>17</v>
      </c>
      <c r="P75">
        <f t="shared" si="3"/>
        <v>3.5</v>
      </c>
    </row>
    <row r="76" spans="1:16" x14ac:dyDescent="0.25">
      <c r="A76">
        <v>75</v>
      </c>
      <c r="B76" t="s">
        <v>440</v>
      </c>
      <c r="C76" t="s">
        <v>441</v>
      </c>
      <c r="D76" t="s">
        <v>442</v>
      </c>
      <c r="E76">
        <v>35418</v>
      </c>
      <c r="F76" t="s">
        <v>437</v>
      </c>
      <c r="G76" t="s">
        <v>443</v>
      </c>
      <c r="H76" s="2">
        <v>17272</v>
      </c>
      <c r="I76" t="s">
        <v>444</v>
      </c>
      <c r="J76" t="s">
        <v>583</v>
      </c>
      <c r="K76" t="s">
        <v>406</v>
      </c>
      <c r="N76" t="str">
        <f t="shared" si="2"/>
        <v>Verplant</v>
      </c>
      <c r="O76" t="s">
        <v>17</v>
      </c>
      <c r="P76">
        <f t="shared" si="3"/>
        <v>3.5</v>
      </c>
    </row>
    <row r="77" spans="1:16" x14ac:dyDescent="0.25">
      <c r="A77">
        <v>76</v>
      </c>
      <c r="B77" t="s">
        <v>445</v>
      </c>
      <c r="C77" t="s">
        <v>446</v>
      </c>
      <c r="D77" t="s">
        <v>447</v>
      </c>
      <c r="E77">
        <v>35321</v>
      </c>
      <c r="F77" t="s">
        <v>448</v>
      </c>
      <c r="G77" t="s">
        <v>449</v>
      </c>
      <c r="H77" s="2">
        <v>13575</v>
      </c>
      <c r="I77" t="s">
        <v>450</v>
      </c>
      <c r="J77" t="s">
        <v>577</v>
      </c>
      <c r="K77" t="s">
        <v>406</v>
      </c>
      <c r="N77" t="str">
        <f t="shared" si="2"/>
        <v>Verplant</v>
      </c>
      <c r="O77" t="s">
        <v>17</v>
      </c>
      <c r="P77">
        <f t="shared" si="3"/>
        <v>3.5</v>
      </c>
    </row>
    <row r="78" spans="1:16" x14ac:dyDescent="0.25">
      <c r="A78">
        <v>77</v>
      </c>
      <c r="B78" t="s">
        <v>451</v>
      </c>
      <c r="C78" t="s">
        <v>452</v>
      </c>
      <c r="D78" t="s">
        <v>453</v>
      </c>
      <c r="E78">
        <v>35305</v>
      </c>
      <c r="F78" t="s">
        <v>45</v>
      </c>
      <c r="G78" t="s">
        <v>454</v>
      </c>
      <c r="H78" s="2">
        <v>17357</v>
      </c>
      <c r="I78" t="s">
        <v>455</v>
      </c>
      <c r="J78" t="s">
        <v>581</v>
      </c>
      <c r="K78" t="s">
        <v>406</v>
      </c>
      <c r="N78" t="str">
        <f t="shared" si="2"/>
        <v>Verplant</v>
      </c>
      <c r="O78" t="s">
        <v>17</v>
      </c>
      <c r="P78">
        <f t="shared" si="3"/>
        <v>3.5</v>
      </c>
    </row>
    <row r="79" spans="1:16" x14ac:dyDescent="0.25">
      <c r="A79">
        <v>78</v>
      </c>
      <c r="B79" t="s">
        <v>451</v>
      </c>
      <c r="C79" t="s">
        <v>234</v>
      </c>
      <c r="D79" t="s">
        <v>453</v>
      </c>
      <c r="E79">
        <v>35305</v>
      </c>
      <c r="F79" t="s">
        <v>45</v>
      </c>
      <c r="G79" t="s">
        <v>454</v>
      </c>
      <c r="H79" s="2">
        <v>18032</v>
      </c>
      <c r="I79" t="s">
        <v>456</v>
      </c>
      <c r="J79" t="s">
        <v>579</v>
      </c>
      <c r="K79" t="s">
        <v>406</v>
      </c>
      <c r="N79" t="str">
        <f t="shared" si="2"/>
        <v>Verplant</v>
      </c>
      <c r="O79" t="s">
        <v>17</v>
      </c>
      <c r="P79">
        <f t="shared" si="3"/>
        <v>3.5</v>
      </c>
    </row>
    <row r="80" spans="1:16" x14ac:dyDescent="0.25">
      <c r="A80">
        <v>79</v>
      </c>
      <c r="B80" t="s">
        <v>457</v>
      </c>
      <c r="C80" t="s">
        <v>458</v>
      </c>
      <c r="D80" t="s">
        <v>459</v>
      </c>
      <c r="E80">
        <v>35418</v>
      </c>
      <c r="F80" t="s">
        <v>245</v>
      </c>
      <c r="G80" t="s">
        <v>460</v>
      </c>
      <c r="H80" s="2">
        <v>20309</v>
      </c>
      <c r="I80" t="s">
        <v>461</v>
      </c>
      <c r="J80" t="s">
        <v>579</v>
      </c>
      <c r="K80" t="s">
        <v>401</v>
      </c>
      <c r="N80" t="str">
        <f t="shared" si="2"/>
        <v>Verplant</v>
      </c>
      <c r="O80" t="s">
        <v>17</v>
      </c>
      <c r="P80">
        <f t="shared" si="3"/>
        <v>3.5</v>
      </c>
    </row>
    <row r="81" spans="1:17" x14ac:dyDescent="0.25">
      <c r="A81">
        <v>80</v>
      </c>
      <c r="B81" t="s">
        <v>462</v>
      </c>
      <c r="C81" t="s">
        <v>330</v>
      </c>
      <c r="D81" t="s">
        <v>463</v>
      </c>
      <c r="E81">
        <v>35463</v>
      </c>
      <c r="F81" t="s">
        <v>464</v>
      </c>
      <c r="G81" t="s">
        <v>465</v>
      </c>
      <c r="H81" s="2">
        <v>13356</v>
      </c>
      <c r="I81" t="s">
        <v>466</v>
      </c>
      <c r="J81" t="s">
        <v>579</v>
      </c>
      <c r="K81" t="s">
        <v>402</v>
      </c>
      <c r="N81" t="str">
        <f t="shared" si="2"/>
        <v>Verplant</v>
      </c>
      <c r="O81" t="s">
        <v>17</v>
      </c>
      <c r="P81">
        <f t="shared" si="3"/>
        <v>3.5</v>
      </c>
    </row>
    <row r="82" spans="1:17" x14ac:dyDescent="0.25">
      <c r="A82">
        <v>81</v>
      </c>
      <c r="B82" t="s">
        <v>312</v>
      </c>
      <c r="C82" t="s">
        <v>342</v>
      </c>
      <c r="D82" t="s">
        <v>467</v>
      </c>
      <c r="E82">
        <v>35305</v>
      </c>
      <c r="F82" t="s">
        <v>468</v>
      </c>
      <c r="G82" t="s">
        <v>469</v>
      </c>
      <c r="H82" s="2">
        <v>13792</v>
      </c>
      <c r="I82" t="s">
        <v>470</v>
      </c>
      <c r="J82" t="s">
        <v>577</v>
      </c>
      <c r="K82" t="s">
        <v>402</v>
      </c>
      <c r="N82" t="str">
        <f t="shared" ref="N82:N144" si="4">IF(O82="Pausiert","Pausiert",IF(O82="Verstorben","Verstorben",IF(O82="Gekündigt","Gekündigt",IF(K82="","Unverplant","Verplant"))))</f>
        <v>Verplant</v>
      </c>
      <c r="O82" t="s">
        <v>17</v>
      </c>
      <c r="P82">
        <f t="shared" ref="P82:P144" si="5">IF(N82="Verplant",3.5,"")</f>
        <v>3.5</v>
      </c>
    </row>
    <row r="83" spans="1:17" x14ac:dyDescent="0.25">
      <c r="A83">
        <v>82</v>
      </c>
      <c r="B83" t="s">
        <v>471</v>
      </c>
      <c r="C83" t="s">
        <v>281</v>
      </c>
      <c r="D83" t="s">
        <v>478</v>
      </c>
      <c r="E83">
        <v>35418</v>
      </c>
      <c r="F83" t="s">
        <v>245</v>
      </c>
      <c r="G83" t="s">
        <v>472</v>
      </c>
      <c r="H83" s="2">
        <v>17703</v>
      </c>
      <c r="I83" t="s">
        <v>473</v>
      </c>
      <c r="J83" t="s">
        <v>589</v>
      </c>
      <c r="K83" t="s">
        <v>402</v>
      </c>
      <c r="N83" t="str">
        <f t="shared" si="4"/>
        <v>Verplant</v>
      </c>
      <c r="O83" t="s">
        <v>17</v>
      </c>
      <c r="P83">
        <f t="shared" si="5"/>
        <v>3.5</v>
      </c>
    </row>
    <row r="84" spans="1:17" x14ac:dyDescent="0.25">
      <c r="A84">
        <v>83</v>
      </c>
      <c r="B84" t="s">
        <v>471</v>
      </c>
      <c r="C84" t="s">
        <v>474</v>
      </c>
      <c r="D84" t="s">
        <v>478</v>
      </c>
      <c r="E84">
        <v>35418</v>
      </c>
      <c r="F84" t="s">
        <v>245</v>
      </c>
      <c r="G84" t="s">
        <v>472</v>
      </c>
      <c r="H84" s="2">
        <v>18795</v>
      </c>
      <c r="I84" t="s">
        <v>475</v>
      </c>
      <c r="J84" t="s">
        <v>589</v>
      </c>
      <c r="K84" t="s">
        <v>402</v>
      </c>
      <c r="N84" t="str">
        <f t="shared" si="4"/>
        <v>Verplant</v>
      </c>
      <c r="O84" t="s">
        <v>17</v>
      </c>
      <c r="P84">
        <f t="shared" si="5"/>
        <v>3.5</v>
      </c>
    </row>
    <row r="85" spans="1:17" x14ac:dyDescent="0.25">
      <c r="A85">
        <v>84</v>
      </c>
      <c r="B85" t="s">
        <v>476</v>
      </c>
      <c r="C85" t="s">
        <v>477</v>
      </c>
      <c r="D85" t="s">
        <v>479</v>
      </c>
      <c r="E85">
        <v>35325</v>
      </c>
      <c r="F85" t="s">
        <v>23</v>
      </c>
      <c r="G85" t="s">
        <v>480</v>
      </c>
      <c r="H85" s="2">
        <v>20416</v>
      </c>
      <c r="I85" t="s">
        <v>481</v>
      </c>
      <c r="J85" t="s">
        <v>582</v>
      </c>
      <c r="K85" t="s">
        <v>482</v>
      </c>
      <c r="M85" t="s">
        <v>413</v>
      </c>
      <c r="N85" t="str">
        <f t="shared" si="4"/>
        <v>Verplant</v>
      </c>
      <c r="O85" t="s">
        <v>17</v>
      </c>
      <c r="P85">
        <f t="shared" si="5"/>
        <v>3.5</v>
      </c>
      <c r="Q85" t="s">
        <v>674</v>
      </c>
    </row>
    <row r="86" spans="1:17" x14ac:dyDescent="0.25">
      <c r="A86">
        <v>85</v>
      </c>
      <c r="B86" t="s">
        <v>483</v>
      </c>
      <c r="C86" t="s">
        <v>484</v>
      </c>
      <c r="D86" t="s">
        <v>485</v>
      </c>
      <c r="E86">
        <v>35325</v>
      </c>
      <c r="F86" t="s">
        <v>23</v>
      </c>
      <c r="G86" t="s">
        <v>486</v>
      </c>
      <c r="H86" s="2">
        <v>14961</v>
      </c>
      <c r="I86" t="s">
        <v>487</v>
      </c>
      <c r="J86" t="s">
        <v>577</v>
      </c>
      <c r="K86" t="s">
        <v>615</v>
      </c>
      <c r="M86" t="s">
        <v>413</v>
      </c>
      <c r="N86" t="str">
        <f t="shared" si="4"/>
        <v>Verplant</v>
      </c>
      <c r="O86" t="s">
        <v>17</v>
      </c>
      <c r="P86">
        <f t="shared" si="5"/>
        <v>3.5</v>
      </c>
    </row>
    <row r="87" spans="1:17" x14ac:dyDescent="0.25">
      <c r="A87">
        <v>86</v>
      </c>
      <c r="B87" t="s">
        <v>488</v>
      </c>
      <c r="C87" t="s">
        <v>172</v>
      </c>
      <c r="D87" t="s">
        <v>489</v>
      </c>
      <c r="E87">
        <v>35394</v>
      </c>
      <c r="F87" t="s">
        <v>257</v>
      </c>
      <c r="G87" t="s">
        <v>490</v>
      </c>
      <c r="H87" s="2">
        <v>22115</v>
      </c>
      <c r="I87" t="s">
        <v>491</v>
      </c>
      <c r="J87" t="s">
        <v>580</v>
      </c>
      <c r="K87" t="s">
        <v>412</v>
      </c>
      <c r="N87" t="str">
        <f t="shared" si="4"/>
        <v>Verplant</v>
      </c>
      <c r="O87" t="s">
        <v>17</v>
      </c>
      <c r="P87">
        <f t="shared" si="5"/>
        <v>3.5</v>
      </c>
    </row>
    <row r="88" spans="1:17" x14ac:dyDescent="0.25">
      <c r="A88">
        <v>87</v>
      </c>
      <c r="B88" t="s">
        <v>492</v>
      </c>
      <c r="C88" t="s">
        <v>313</v>
      </c>
      <c r="D88" t="s">
        <v>493</v>
      </c>
      <c r="E88">
        <v>35418</v>
      </c>
      <c r="F88" t="s">
        <v>245</v>
      </c>
      <c r="G88" t="s">
        <v>494</v>
      </c>
      <c r="H88" t="s">
        <v>495</v>
      </c>
      <c r="I88" t="s">
        <v>496</v>
      </c>
      <c r="J88" t="s">
        <v>594</v>
      </c>
      <c r="K88" t="s">
        <v>406</v>
      </c>
      <c r="N88" t="str">
        <f t="shared" si="4"/>
        <v>Verplant</v>
      </c>
      <c r="O88" t="s">
        <v>17</v>
      </c>
      <c r="P88">
        <f t="shared" si="5"/>
        <v>3.5</v>
      </c>
    </row>
    <row r="89" spans="1:17" x14ac:dyDescent="0.25">
      <c r="A89">
        <v>88</v>
      </c>
      <c r="B89" t="s">
        <v>497</v>
      </c>
      <c r="C89" t="s">
        <v>498</v>
      </c>
      <c r="D89" t="s">
        <v>499</v>
      </c>
      <c r="E89">
        <v>35418</v>
      </c>
      <c r="F89" t="s">
        <v>245</v>
      </c>
      <c r="G89" t="s">
        <v>500</v>
      </c>
      <c r="H89" s="2">
        <v>19725</v>
      </c>
      <c r="I89" t="s">
        <v>501</v>
      </c>
      <c r="J89" t="s">
        <v>577</v>
      </c>
      <c r="K89" t="s">
        <v>406</v>
      </c>
      <c r="N89" t="str">
        <f t="shared" si="4"/>
        <v>Verplant</v>
      </c>
      <c r="O89" t="s">
        <v>17</v>
      </c>
      <c r="P89">
        <f t="shared" si="5"/>
        <v>3.5</v>
      </c>
    </row>
    <row r="90" spans="1:17" x14ac:dyDescent="0.25">
      <c r="A90">
        <v>89</v>
      </c>
      <c r="B90" t="s">
        <v>502</v>
      </c>
      <c r="C90" t="s">
        <v>503</v>
      </c>
      <c r="D90" t="s">
        <v>504</v>
      </c>
      <c r="E90">
        <v>35305</v>
      </c>
      <c r="F90" t="s">
        <v>45</v>
      </c>
      <c r="G90" t="s">
        <v>505</v>
      </c>
      <c r="H90" s="2">
        <v>21569</v>
      </c>
      <c r="I90" t="s">
        <v>506</v>
      </c>
      <c r="J90" t="s">
        <v>577</v>
      </c>
      <c r="K90" t="s">
        <v>412</v>
      </c>
      <c r="N90" t="str">
        <f t="shared" si="4"/>
        <v>Verplant</v>
      </c>
      <c r="O90" t="s">
        <v>17</v>
      </c>
      <c r="P90">
        <f t="shared" si="5"/>
        <v>3.5</v>
      </c>
    </row>
    <row r="91" spans="1:17" x14ac:dyDescent="0.25">
      <c r="A91">
        <v>90</v>
      </c>
      <c r="B91" t="s">
        <v>507</v>
      </c>
      <c r="C91" t="s">
        <v>508</v>
      </c>
      <c r="D91" t="s">
        <v>509</v>
      </c>
      <c r="E91">
        <v>36325</v>
      </c>
      <c r="F91" t="s">
        <v>510</v>
      </c>
      <c r="G91" t="s">
        <v>511</v>
      </c>
      <c r="H91" s="2">
        <v>16174</v>
      </c>
      <c r="I91" t="s">
        <v>512</v>
      </c>
      <c r="J91" t="s">
        <v>580</v>
      </c>
      <c r="K91" t="s">
        <v>411</v>
      </c>
      <c r="N91" t="str">
        <f t="shared" si="4"/>
        <v>Verplant</v>
      </c>
      <c r="O91" t="s">
        <v>17</v>
      </c>
      <c r="P91">
        <f t="shared" si="5"/>
        <v>3.5</v>
      </c>
    </row>
    <row r="92" spans="1:17" x14ac:dyDescent="0.25">
      <c r="A92">
        <v>92</v>
      </c>
      <c r="B92" t="s">
        <v>513</v>
      </c>
      <c r="C92" t="s">
        <v>514</v>
      </c>
      <c r="D92" t="s">
        <v>515</v>
      </c>
      <c r="E92">
        <v>35305</v>
      </c>
      <c r="F92" t="s">
        <v>45</v>
      </c>
      <c r="G92" t="s">
        <v>516</v>
      </c>
      <c r="H92" s="2">
        <v>11703</v>
      </c>
      <c r="J92" t="s">
        <v>585</v>
      </c>
      <c r="K92" t="s">
        <v>406</v>
      </c>
      <c r="N92" t="str">
        <f t="shared" si="4"/>
        <v>Verplant</v>
      </c>
      <c r="O92" t="s">
        <v>17</v>
      </c>
      <c r="P92">
        <f t="shared" si="5"/>
        <v>3.5</v>
      </c>
      <c r="Q92" t="s">
        <v>674</v>
      </c>
    </row>
    <row r="93" spans="1:17" x14ac:dyDescent="0.25">
      <c r="A93">
        <v>93</v>
      </c>
      <c r="B93" t="s">
        <v>517</v>
      </c>
      <c r="C93" t="s">
        <v>518</v>
      </c>
      <c r="D93" t="s">
        <v>519</v>
      </c>
      <c r="E93">
        <v>35325</v>
      </c>
      <c r="F93" t="s">
        <v>23</v>
      </c>
      <c r="G93" t="s">
        <v>520</v>
      </c>
      <c r="H93" s="2">
        <v>29705</v>
      </c>
      <c r="I93" t="s">
        <v>521</v>
      </c>
      <c r="J93" t="s">
        <v>577</v>
      </c>
      <c r="K93" t="s">
        <v>408</v>
      </c>
      <c r="N93" t="str">
        <f t="shared" si="4"/>
        <v>Verplant</v>
      </c>
      <c r="O93" t="s">
        <v>17</v>
      </c>
      <c r="P93">
        <f t="shared" si="5"/>
        <v>3.5</v>
      </c>
    </row>
    <row r="94" spans="1:17" x14ac:dyDescent="0.25">
      <c r="A94">
        <v>94</v>
      </c>
      <c r="B94" t="s">
        <v>522</v>
      </c>
      <c r="C94" t="s">
        <v>523</v>
      </c>
      <c r="D94" t="s">
        <v>524</v>
      </c>
      <c r="E94">
        <v>35325</v>
      </c>
      <c r="F94" t="s">
        <v>23</v>
      </c>
      <c r="G94" t="s">
        <v>525</v>
      </c>
      <c r="H94" s="2">
        <v>20719</v>
      </c>
      <c r="I94" t="s">
        <v>526</v>
      </c>
      <c r="J94" t="s">
        <v>593</v>
      </c>
      <c r="K94" t="s">
        <v>408</v>
      </c>
      <c r="N94" t="str">
        <f t="shared" si="4"/>
        <v>Verplant</v>
      </c>
      <c r="O94" t="s">
        <v>17</v>
      </c>
      <c r="P94">
        <f t="shared" si="5"/>
        <v>3.5</v>
      </c>
    </row>
    <row r="95" spans="1:17" x14ac:dyDescent="0.25">
      <c r="A95">
        <v>95</v>
      </c>
      <c r="B95" t="s">
        <v>517</v>
      </c>
      <c r="C95" t="s">
        <v>527</v>
      </c>
      <c r="D95" t="s">
        <v>519</v>
      </c>
      <c r="E95">
        <v>35325</v>
      </c>
      <c r="F95" t="s">
        <v>23</v>
      </c>
      <c r="G95" t="s">
        <v>528</v>
      </c>
      <c r="H95" s="2">
        <v>29066</v>
      </c>
      <c r="I95" t="s">
        <v>529</v>
      </c>
      <c r="K95" t="s">
        <v>408</v>
      </c>
      <c r="N95" t="str">
        <f t="shared" si="4"/>
        <v>Verplant</v>
      </c>
      <c r="O95" t="s">
        <v>17</v>
      </c>
      <c r="P95">
        <f t="shared" si="5"/>
        <v>3.5</v>
      </c>
    </row>
    <row r="96" spans="1:17" x14ac:dyDescent="0.25">
      <c r="A96">
        <v>96</v>
      </c>
      <c r="B96" t="s">
        <v>530</v>
      </c>
      <c r="C96" t="s">
        <v>281</v>
      </c>
      <c r="D96" t="s">
        <v>531</v>
      </c>
      <c r="E96">
        <v>35447</v>
      </c>
      <c r="F96" t="s">
        <v>357</v>
      </c>
      <c r="G96" t="s">
        <v>532</v>
      </c>
      <c r="H96" s="2">
        <v>18417</v>
      </c>
      <c r="J96" t="s">
        <v>585</v>
      </c>
      <c r="K96" t="s">
        <v>402</v>
      </c>
      <c r="N96" t="str">
        <f t="shared" si="4"/>
        <v>Verplant</v>
      </c>
      <c r="O96" t="s">
        <v>17</v>
      </c>
      <c r="P96">
        <f t="shared" si="5"/>
        <v>3.5</v>
      </c>
    </row>
    <row r="97" spans="1:17" x14ac:dyDescent="0.25">
      <c r="A97">
        <v>97</v>
      </c>
      <c r="B97" t="s">
        <v>623</v>
      </c>
      <c r="C97" t="s">
        <v>533</v>
      </c>
      <c r="D97" t="s">
        <v>534</v>
      </c>
      <c r="E97">
        <v>35305</v>
      </c>
      <c r="F97" t="s">
        <v>45</v>
      </c>
      <c r="G97" t="s">
        <v>535</v>
      </c>
      <c r="H97" s="2">
        <v>19087</v>
      </c>
      <c r="I97" t="s">
        <v>536</v>
      </c>
      <c r="J97" t="s">
        <v>581</v>
      </c>
      <c r="K97" t="s">
        <v>537</v>
      </c>
      <c r="N97" t="str">
        <f t="shared" si="4"/>
        <v>Verplant</v>
      </c>
      <c r="O97" t="s">
        <v>17</v>
      </c>
      <c r="P97">
        <f t="shared" si="5"/>
        <v>3.5</v>
      </c>
    </row>
    <row r="98" spans="1:17" x14ac:dyDescent="0.25">
      <c r="A98">
        <v>98</v>
      </c>
      <c r="B98" t="s">
        <v>541</v>
      </c>
      <c r="C98" t="s">
        <v>542</v>
      </c>
      <c r="D98" t="s">
        <v>543</v>
      </c>
      <c r="E98">
        <v>35315</v>
      </c>
      <c r="F98" t="s">
        <v>544</v>
      </c>
      <c r="G98" t="s">
        <v>545</v>
      </c>
      <c r="H98" s="2">
        <v>28056</v>
      </c>
      <c r="I98" t="s">
        <v>546</v>
      </c>
      <c r="J98" t="s">
        <v>580</v>
      </c>
      <c r="K98" t="s">
        <v>537</v>
      </c>
      <c r="N98" t="str">
        <f t="shared" si="4"/>
        <v>Verplant</v>
      </c>
      <c r="O98" t="s">
        <v>17</v>
      </c>
      <c r="P98">
        <f t="shared" si="5"/>
        <v>3.5</v>
      </c>
    </row>
    <row r="99" spans="1:17" x14ac:dyDescent="0.25">
      <c r="A99">
        <v>99</v>
      </c>
      <c r="B99" t="s">
        <v>550</v>
      </c>
      <c r="C99" t="s">
        <v>243</v>
      </c>
      <c r="D99" t="s">
        <v>547</v>
      </c>
      <c r="E99">
        <v>35435</v>
      </c>
      <c r="F99" t="s">
        <v>40</v>
      </c>
      <c r="G99" t="s">
        <v>548</v>
      </c>
      <c r="H99" s="2">
        <v>15136</v>
      </c>
      <c r="I99" t="s">
        <v>549</v>
      </c>
      <c r="J99" t="s">
        <v>577</v>
      </c>
      <c r="K99" t="s">
        <v>404</v>
      </c>
      <c r="N99" t="str">
        <f t="shared" si="4"/>
        <v>Verplant</v>
      </c>
      <c r="O99" t="s">
        <v>17</v>
      </c>
      <c r="P99">
        <f t="shared" si="5"/>
        <v>3.5</v>
      </c>
    </row>
    <row r="100" spans="1:17" x14ac:dyDescent="0.25">
      <c r="A100">
        <v>100</v>
      </c>
      <c r="B100" t="s">
        <v>551</v>
      </c>
      <c r="C100" t="s">
        <v>552</v>
      </c>
      <c r="D100" t="s">
        <v>553</v>
      </c>
      <c r="E100">
        <v>35435</v>
      </c>
      <c r="F100" t="s">
        <v>40</v>
      </c>
      <c r="G100" t="s">
        <v>554</v>
      </c>
      <c r="H100" s="2">
        <v>13914</v>
      </c>
      <c r="I100" t="s">
        <v>555</v>
      </c>
      <c r="J100" t="s">
        <v>577</v>
      </c>
      <c r="K100" t="s">
        <v>404</v>
      </c>
      <c r="N100" t="str">
        <f t="shared" si="4"/>
        <v>Verplant</v>
      </c>
      <c r="O100" t="s">
        <v>17</v>
      </c>
      <c r="P100">
        <f t="shared" si="5"/>
        <v>3.5</v>
      </c>
    </row>
    <row r="101" spans="1:17" x14ac:dyDescent="0.25">
      <c r="A101">
        <v>101</v>
      </c>
      <c r="B101" t="s">
        <v>53</v>
      </c>
      <c r="C101" t="s">
        <v>559</v>
      </c>
      <c r="D101" t="s">
        <v>560</v>
      </c>
      <c r="E101">
        <v>35447</v>
      </c>
      <c r="F101" t="s">
        <v>357</v>
      </c>
      <c r="G101" t="s">
        <v>561</v>
      </c>
      <c r="H101" s="2">
        <v>11677</v>
      </c>
      <c r="I101" t="s">
        <v>562</v>
      </c>
      <c r="J101" t="s">
        <v>577</v>
      </c>
      <c r="K101" t="s">
        <v>411</v>
      </c>
      <c r="N101" t="str">
        <f t="shared" si="4"/>
        <v>Verplant</v>
      </c>
      <c r="O101" t="s">
        <v>17</v>
      </c>
      <c r="P101">
        <f t="shared" si="5"/>
        <v>3.5</v>
      </c>
    </row>
    <row r="102" spans="1:17" x14ac:dyDescent="0.25">
      <c r="A102">
        <v>102</v>
      </c>
      <c r="B102" t="s">
        <v>600</v>
      </c>
      <c r="C102" t="s">
        <v>533</v>
      </c>
      <c r="D102" t="s">
        <v>564</v>
      </c>
      <c r="E102">
        <v>35305</v>
      </c>
      <c r="F102" t="s">
        <v>45</v>
      </c>
      <c r="G102" t="s">
        <v>565</v>
      </c>
      <c r="H102" s="2">
        <v>16613</v>
      </c>
      <c r="I102" t="s">
        <v>566</v>
      </c>
      <c r="J102" t="s">
        <v>581</v>
      </c>
      <c r="K102" t="s">
        <v>406</v>
      </c>
      <c r="N102" t="str">
        <f t="shared" si="4"/>
        <v>Verplant</v>
      </c>
      <c r="O102" t="s">
        <v>17</v>
      </c>
      <c r="P102">
        <f t="shared" si="5"/>
        <v>3.5</v>
      </c>
    </row>
    <row r="103" spans="1:17" x14ac:dyDescent="0.25">
      <c r="A103">
        <v>103</v>
      </c>
      <c r="B103" t="s">
        <v>445</v>
      </c>
      <c r="C103" t="s">
        <v>567</v>
      </c>
      <c r="D103" t="s">
        <v>568</v>
      </c>
      <c r="E103">
        <v>35321</v>
      </c>
      <c r="F103" t="s">
        <v>448</v>
      </c>
      <c r="G103" t="s">
        <v>569</v>
      </c>
      <c r="H103" s="2">
        <v>19013</v>
      </c>
      <c r="I103" t="s">
        <v>616</v>
      </c>
      <c r="J103" t="s">
        <v>601</v>
      </c>
      <c r="K103" t="s">
        <v>406</v>
      </c>
      <c r="N103" t="str">
        <f t="shared" si="4"/>
        <v>Verplant</v>
      </c>
      <c r="O103" t="s">
        <v>17</v>
      </c>
      <c r="P103">
        <f t="shared" si="5"/>
        <v>3.5</v>
      </c>
    </row>
    <row r="104" spans="1:17" x14ac:dyDescent="0.25">
      <c r="A104">
        <v>104</v>
      </c>
      <c r="B104" t="s">
        <v>570</v>
      </c>
      <c r="C104" t="s">
        <v>571</v>
      </c>
      <c r="D104" t="s">
        <v>572</v>
      </c>
      <c r="E104">
        <v>35418</v>
      </c>
      <c r="F104" t="s">
        <v>245</v>
      </c>
      <c r="G104" t="s">
        <v>573</v>
      </c>
      <c r="H104" s="2">
        <v>39325</v>
      </c>
      <c r="I104" t="s">
        <v>574</v>
      </c>
      <c r="J104" t="s">
        <v>580</v>
      </c>
      <c r="K104" t="s">
        <v>406</v>
      </c>
      <c r="N104" t="str">
        <f t="shared" si="4"/>
        <v>Verplant</v>
      </c>
      <c r="O104" t="s">
        <v>17</v>
      </c>
      <c r="P104">
        <f t="shared" si="5"/>
        <v>3.5</v>
      </c>
    </row>
    <row r="105" spans="1:17" x14ac:dyDescent="0.25">
      <c r="A105">
        <v>105</v>
      </c>
      <c r="B105" t="s">
        <v>595</v>
      </c>
      <c r="C105" t="s">
        <v>596</v>
      </c>
      <c r="D105" t="s">
        <v>597</v>
      </c>
      <c r="E105">
        <v>35329</v>
      </c>
      <c r="F105" t="s">
        <v>212</v>
      </c>
      <c r="G105" t="s">
        <v>598</v>
      </c>
      <c r="H105" s="2">
        <v>21670</v>
      </c>
      <c r="I105" t="s">
        <v>599</v>
      </c>
      <c r="J105" t="s">
        <v>578</v>
      </c>
      <c r="K105" t="s">
        <v>412</v>
      </c>
      <c r="N105" t="str">
        <f t="shared" si="4"/>
        <v>Verplant</v>
      </c>
      <c r="O105" t="s">
        <v>17</v>
      </c>
      <c r="P105">
        <f t="shared" si="5"/>
        <v>3.5</v>
      </c>
    </row>
    <row r="106" spans="1:17" x14ac:dyDescent="0.25">
      <c r="A106">
        <v>106</v>
      </c>
      <c r="B106" t="s">
        <v>603</v>
      </c>
      <c r="C106" t="s">
        <v>604</v>
      </c>
      <c r="D106" t="s">
        <v>605</v>
      </c>
      <c r="E106">
        <v>35315</v>
      </c>
      <c r="F106" t="s">
        <v>544</v>
      </c>
      <c r="G106" t="s">
        <v>606</v>
      </c>
      <c r="H106" s="2">
        <v>19195</v>
      </c>
      <c r="I106" t="s">
        <v>607</v>
      </c>
      <c r="J106" t="s">
        <v>577</v>
      </c>
      <c r="K106" t="s">
        <v>677</v>
      </c>
      <c r="N106" t="str">
        <f t="shared" si="4"/>
        <v>Verplant</v>
      </c>
      <c r="O106" t="s">
        <v>17</v>
      </c>
      <c r="P106">
        <f t="shared" si="5"/>
        <v>3.5</v>
      </c>
    </row>
    <row r="107" spans="1:17" x14ac:dyDescent="0.25">
      <c r="A107">
        <v>107</v>
      </c>
      <c r="B107" t="s">
        <v>608</v>
      </c>
      <c r="C107" t="s">
        <v>609</v>
      </c>
      <c r="D107" t="s">
        <v>617</v>
      </c>
      <c r="E107">
        <v>35305</v>
      </c>
      <c r="F107" t="s">
        <v>45</v>
      </c>
      <c r="G107" t="s">
        <v>610</v>
      </c>
      <c r="H107" s="2">
        <v>37217</v>
      </c>
      <c r="I107" t="s">
        <v>611</v>
      </c>
      <c r="J107" t="s">
        <v>577</v>
      </c>
      <c r="K107" t="s">
        <v>408</v>
      </c>
      <c r="N107" t="str">
        <f t="shared" si="4"/>
        <v>Verplant</v>
      </c>
      <c r="O107" t="s">
        <v>17</v>
      </c>
      <c r="P107">
        <f t="shared" si="5"/>
        <v>3.5</v>
      </c>
    </row>
    <row r="108" spans="1:17" x14ac:dyDescent="0.25">
      <c r="A108">
        <v>108</v>
      </c>
      <c r="B108" t="s">
        <v>302</v>
      </c>
      <c r="C108" t="s">
        <v>542</v>
      </c>
      <c r="D108" t="s">
        <v>618</v>
      </c>
      <c r="E108">
        <v>35329</v>
      </c>
      <c r="F108" t="s">
        <v>212</v>
      </c>
      <c r="G108" t="s">
        <v>619</v>
      </c>
      <c r="H108" s="2">
        <v>28079</v>
      </c>
      <c r="I108" t="s">
        <v>620</v>
      </c>
      <c r="J108" t="s">
        <v>621</v>
      </c>
      <c r="K108" t="s">
        <v>412</v>
      </c>
      <c r="N108" t="str">
        <f t="shared" si="4"/>
        <v>Verplant</v>
      </c>
      <c r="O108" t="s">
        <v>17</v>
      </c>
      <c r="P108">
        <f t="shared" si="5"/>
        <v>3.5</v>
      </c>
    </row>
    <row r="109" spans="1:17" x14ac:dyDescent="0.25">
      <c r="A109">
        <v>109</v>
      </c>
      <c r="B109" t="s">
        <v>530</v>
      </c>
      <c r="C109" t="s">
        <v>243</v>
      </c>
      <c r="D109" t="s">
        <v>624</v>
      </c>
      <c r="E109">
        <v>35325</v>
      </c>
      <c r="F109" t="s">
        <v>23</v>
      </c>
      <c r="G109" t="s">
        <v>625</v>
      </c>
      <c r="H109" s="2">
        <v>15431</v>
      </c>
      <c r="J109" t="s">
        <v>602</v>
      </c>
      <c r="K109" t="s">
        <v>677</v>
      </c>
      <c r="N109" t="str">
        <f t="shared" si="4"/>
        <v>Verplant</v>
      </c>
      <c r="O109" t="s">
        <v>17</v>
      </c>
      <c r="P109">
        <f t="shared" si="5"/>
        <v>3.5</v>
      </c>
      <c r="Q109" t="s">
        <v>674</v>
      </c>
    </row>
    <row r="110" spans="1:17" x14ac:dyDescent="0.25">
      <c r="A110">
        <v>110</v>
      </c>
      <c r="B110" t="s">
        <v>530</v>
      </c>
      <c r="C110" t="s">
        <v>342</v>
      </c>
      <c r="D110" t="s">
        <v>624</v>
      </c>
      <c r="E110">
        <v>35325</v>
      </c>
      <c r="F110" t="s">
        <v>23</v>
      </c>
      <c r="G110" t="s">
        <v>625</v>
      </c>
      <c r="H110" s="2">
        <v>13655</v>
      </c>
      <c r="J110" t="s">
        <v>602</v>
      </c>
      <c r="K110" t="s">
        <v>677</v>
      </c>
      <c r="N110" t="str">
        <f t="shared" si="4"/>
        <v>Verplant</v>
      </c>
      <c r="O110" t="s">
        <v>17</v>
      </c>
      <c r="P110">
        <f t="shared" si="5"/>
        <v>3.5</v>
      </c>
      <c r="Q110" t="s">
        <v>674</v>
      </c>
    </row>
    <row r="111" spans="1:17" x14ac:dyDescent="0.25">
      <c r="A111">
        <v>111</v>
      </c>
      <c r="B111" t="s">
        <v>626</v>
      </c>
      <c r="C111" t="s">
        <v>363</v>
      </c>
      <c r="D111" t="s">
        <v>627</v>
      </c>
      <c r="E111">
        <v>35315</v>
      </c>
      <c r="F111" t="s">
        <v>544</v>
      </c>
      <c r="G111" t="s">
        <v>628</v>
      </c>
      <c r="H111" s="2">
        <v>14014</v>
      </c>
      <c r="I111" t="s">
        <v>629</v>
      </c>
      <c r="J111" t="s">
        <v>577</v>
      </c>
      <c r="K111" t="s">
        <v>677</v>
      </c>
      <c r="N111" t="str">
        <f t="shared" si="4"/>
        <v>Verplant</v>
      </c>
      <c r="O111" t="s">
        <v>17</v>
      </c>
      <c r="P111">
        <f t="shared" si="5"/>
        <v>3.5</v>
      </c>
    </row>
    <row r="112" spans="1:17" x14ac:dyDescent="0.25">
      <c r="A112">
        <v>112</v>
      </c>
      <c r="B112" t="s">
        <v>630</v>
      </c>
      <c r="C112" t="s">
        <v>631</v>
      </c>
      <c r="D112" t="s">
        <v>632</v>
      </c>
      <c r="E112">
        <v>35325</v>
      </c>
      <c r="F112" t="s">
        <v>23</v>
      </c>
      <c r="G112" t="s">
        <v>633</v>
      </c>
      <c r="H112" s="2">
        <v>15879</v>
      </c>
      <c r="I112" t="s">
        <v>634</v>
      </c>
      <c r="J112" t="s">
        <v>581</v>
      </c>
      <c r="K112" t="s">
        <v>402</v>
      </c>
      <c r="N112" t="str">
        <f t="shared" si="4"/>
        <v>Verplant</v>
      </c>
      <c r="O112" t="s">
        <v>17</v>
      </c>
      <c r="P112">
        <f t="shared" si="5"/>
        <v>3.5</v>
      </c>
      <c r="Q112" t="s">
        <v>674</v>
      </c>
    </row>
    <row r="113" spans="1:16" x14ac:dyDescent="0.25">
      <c r="A113">
        <v>113</v>
      </c>
      <c r="B113" t="s">
        <v>638</v>
      </c>
      <c r="C113" t="s">
        <v>309</v>
      </c>
      <c r="D113" t="s">
        <v>635</v>
      </c>
      <c r="E113">
        <v>35305</v>
      </c>
      <c r="F113" t="s">
        <v>45</v>
      </c>
      <c r="G113" t="s">
        <v>636</v>
      </c>
      <c r="H113" s="2">
        <v>18022</v>
      </c>
      <c r="I113" t="s">
        <v>637</v>
      </c>
      <c r="J113" t="s">
        <v>578</v>
      </c>
      <c r="K113" t="s">
        <v>402</v>
      </c>
      <c r="N113" t="str">
        <f t="shared" si="4"/>
        <v>Verplant</v>
      </c>
      <c r="O113" t="s">
        <v>17</v>
      </c>
      <c r="P113">
        <f t="shared" si="5"/>
        <v>3.5</v>
      </c>
    </row>
    <row r="114" spans="1:16" x14ac:dyDescent="0.25">
      <c r="A114">
        <v>114</v>
      </c>
      <c r="B114" t="s">
        <v>639</v>
      </c>
      <c r="C114" t="s">
        <v>514</v>
      </c>
      <c r="D114" t="s">
        <v>640</v>
      </c>
      <c r="E114">
        <v>35329</v>
      </c>
      <c r="F114" t="s">
        <v>212</v>
      </c>
      <c r="G114" t="s">
        <v>641</v>
      </c>
      <c r="H114" s="2">
        <v>14153</v>
      </c>
      <c r="I114" t="s">
        <v>642</v>
      </c>
      <c r="J114" t="s">
        <v>577</v>
      </c>
      <c r="K114" t="s">
        <v>677</v>
      </c>
      <c r="N114" t="str">
        <f t="shared" si="4"/>
        <v>Verplant</v>
      </c>
      <c r="O114" t="s">
        <v>17</v>
      </c>
      <c r="P114">
        <f t="shared" si="5"/>
        <v>3.5</v>
      </c>
    </row>
    <row r="115" spans="1:16" x14ac:dyDescent="0.25">
      <c r="A115">
        <v>115</v>
      </c>
      <c r="B115" t="s">
        <v>639</v>
      </c>
      <c r="C115" t="s">
        <v>171</v>
      </c>
      <c r="D115" t="s">
        <v>640</v>
      </c>
      <c r="E115">
        <v>35329</v>
      </c>
      <c r="F115" t="s">
        <v>212</v>
      </c>
      <c r="G115" t="s">
        <v>641</v>
      </c>
      <c r="H115" s="2">
        <v>17307</v>
      </c>
      <c r="I115" t="s">
        <v>643</v>
      </c>
      <c r="J115" t="s">
        <v>581</v>
      </c>
      <c r="K115" t="s">
        <v>677</v>
      </c>
      <c r="N115" t="str">
        <f t="shared" si="4"/>
        <v>Verplant</v>
      </c>
      <c r="O115" t="s">
        <v>17</v>
      </c>
      <c r="P115">
        <f t="shared" si="5"/>
        <v>3.5</v>
      </c>
    </row>
    <row r="116" spans="1:16" x14ac:dyDescent="0.25">
      <c r="A116">
        <v>116</v>
      </c>
      <c r="B116" t="s">
        <v>441</v>
      </c>
      <c r="C116" t="s">
        <v>127</v>
      </c>
      <c r="D116" t="s">
        <v>644</v>
      </c>
      <c r="E116">
        <v>35305</v>
      </c>
      <c r="F116" t="s">
        <v>45</v>
      </c>
      <c r="G116" t="s">
        <v>645</v>
      </c>
      <c r="H116" t="s">
        <v>646</v>
      </c>
      <c r="I116" t="s">
        <v>647</v>
      </c>
      <c r="J116" t="s">
        <v>579</v>
      </c>
      <c r="K116" t="s">
        <v>403</v>
      </c>
      <c r="N116" t="str">
        <f t="shared" si="4"/>
        <v>Verplant</v>
      </c>
      <c r="O116" t="s">
        <v>17</v>
      </c>
      <c r="P116">
        <f t="shared" si="5"/>
        <v>3.5</v>
      </c>
    </row>
    <row r="117" spans="1:16" x14ac:dyDescent="0.25">
      <c r="A117">
        <v>117</v>
      </c>
      <c r="B117" t="s">
        <v>648</v>
      </c>
      <c r="C117" t="s">
        <v>649</v>
      </c>
      <c r="D117" t="s">
        <v>650</v>
      </c>
      <c r="E117">
        <v>35444</v>
      </c>
      <c r="F117" t="s">
        <v>651</v>
      </c>
      <c r="G117" t="s">
        <v>652</v>
      </c>
      <c r="H117" s="2">
        <v>16079</v>
      </c>
      <c r="I117" t="s">
        <v>653</v>
      </c>
      <c r="J117" t="s">
        <v>577</v>
      </c>
      <c r="K117" t="s">
        <v>404</v>
      </c>
      <c r="N117" t="str">
        <f t="shared" si="4"/>
        <v>Verplant</v>
      </c>
      <c r="O117" t="s">
        <v>17</v>
      </c>
      <c r="P117">
        <f t="shared" si="5"/>
        <v>3.5</v>
      </c>
    </row>
    <row r="118" spans="1:16" x14ac:dyDescent="0.25">
      <c r="A118">
        <v>118</v>
      </c>
      <c r="B118" t="s">
        <v>654</v>
      </c>
      <c r="C118" t="s">
        <v>655</v>
      </c>
      <c r="D118" t="s">
        <v>656</v>
      </c>
      <c r="E118">
        <v>35305</v>
      </c>
      <c r="F118" t="s">
        <v>45</v>
      </c>
      <c r="G118" t="s">
        <v>657</v>
      </c>
      <c r="H118" s="2">
        <v>12809</v>
      </c>
      <c r="I118" t="s">
        <v>658</v>
      </c>
      <c r="J118" t="s">
        <v>659</v>
      </c>
      <c r="K118" t="s">
        <v>412</v>
      </c>
      <c r="N118" t="str">
        <f t="shared" si="4"/>
        <v>Verplant</v>
      </c>
      <c r="O118" t="s">
        <v>17</v>
      </c>
      <c r="P118">
        <f t="shared" si="5"/>
        <v>3.5</v>
      </c>
    </row>
    <row r="119" spans="1:16" x14ac:dyDescent="0.25">
      <c r="A119">
        <v>119</v>
      </c>
      <c r="B119" t="s">
        <v>441</v>
      </c>
      <c r="C119" t="s">
        <v>660</v>
      </c>
      <c r="D119" t="s">
        <v>661</v>
      </c>
      <c r="E119">
        <v>35315</v>
      </c>
      <c r="F119" t="s">
        <v>544</v>
      </c>
      <c r="G119" t="s">
        <v>662</v>
      </c>
      <c r="H119" s="2">
        <v>10503</v>
      </c>
      <c r="I119" t="s">
        <v>663</v>
      </c>
      <c r="J119" t="s">
        <v>594</v>
      </c>
      <c r="K119" t="s">
        <v>412</v>
      </c>
      <c r="N119" t="str">
        <f t="shared" si="4"/>
        <v>Verplant</v>
      </c>
      <c r="O119" t="s">
        <v>17</v>
      </c>
      <c r="P119">
        <f t="shared" si="5"/>
        <v>3.5</v>
      </c>
    </row>
    <row r="120" spans="1:16" x14ac:dyDescent="0.25">
      <c r="A120">
        <v>120</v>
      </c>
      <c r="B120" t="s">
        <v>603</v>
      </c>
      <c r="C120" t="s">
        <v>604</v>
      </c>
      <c r="D120" t="s">
        <v>664</v>
      </c>
      <c r="E120">
        <v>35315</v>
      </c>
      <c r="F120" t="s">
        <v>544</v>
      </c>
      <c r="G120" t="s">
        <v>606</v>
      </c>
      <c r="H120" s="2">
        <v>13351</v>
      </c>
      <c r="I120" t="s">
        <v>607</v>
      </c>
      <c r="J120" t="s">
        <v>577</v>
      </c>
      <c r="K120" t="s">
        <v>677</v>
      </c>
      <c r="N120" t="str">
        <f t="shared" si="4"/>
        <v>Verplant</v>
      </c>
      <c r="O120" t="s">
        <v>17</v>
      </c>
      <c r="P120">
        <f t="shared" si="5"/>
        <v>3.5</v>
      </c>
    </row>
    <row r="121" spans="1:16" x14ac:dyDescent="0.25">
      <c r="A121">
        <v>121</v>
      </c>
      <c r="B121" t="s">
        <v>665</v>
      </c>
      <c r="C121" t="s">
        <v>666</v>
      </c>
      <c r="D121" t="s">
        <v>667</v>
      </c>
      <c r="E121">
        <v>35423</v>
      </c>
      <c r="F121" t="s">
        <v>198</v>
      </c>
      <c r="G121" t="s">
        <v>668</v>
      </c>
      <c r="H121" s="2">
        <v>21276</v>
      </c>
      <c r="I121" t="s">
        <v>669</v>
      </c>
      <c r="J121" t="s">
        <v>579</v>
      </c>
      <c r="K121" t="s">
        <v>401</v>
      </c>
      <c r="N121" t="str">
        <f t="shared" si="4"/>
        <v>Verplant</v>
      </c>
      <c r="O121" t="s">
        <v>17</v>
      </c>
      <c r="P121">
        <f t="shared" si="5"/>
        <v>3.5</v>
      </c>
    </row>
    <row r="122" spans="1:16" x14ac:dyDescent="0.25">
      <c r="A122">
        <v>122</v>
      </c>
      <c r="B122" t="s">
        <v>665</v>
      </c>
      <c r="C122" t="s">
        <v>196</v>
      </c>
      <c r="D122" t="s">
        <v>667</v>
      </c>
      <c r="E122">
        <v>35423</v>
      </c>
      <c r="F122" t="s">
        <v>198</v>
      </c>
      <c r="G122" t="s">
        <v>668</v>
      </c>
      <c r="H122" s="2">
        <v>22513</v>
      </c>
      <c r="I122" t="s">
        <v>670</v>
      </c>
      <c r="J122" t="s">
        <v>577</v>
      </c>
      <c r="K122" t="s">
        <v>401</v>
      </c>
      <c r="N122" t="str">
        <f t="shared" si="4"/>
        <v>Verplant</v>
      </c>
      <c r="O122" t="s">
        <v>17</v>
      </c>
      <c r="P122">
        <f t="shared" si="5"/>
        <v>3.5</v>
      </c>
    </row>
    <row r="123" spans="1:16" x14ac:dyDescent="0.25">
      <c r="A123">
        <v>123</v>
      </c>
      <c r="B123" t="s">
        <v>302</v>
      </c>
      <c r="C123" t="s">
        <v>679</v>
      </c>
      <c r="D123" t="s">
        <v>680</v>
      </c>
      <c r="E123">
        <v>35325</v>
      </c>
      <c r="F123" t="s">
        <v>23</v>
      </c>
      <c r="G123" t="s">
        <v>681</v>
      </c>
      <c r="H123" s="2">
        <v>15830</v>
      </c>
      <c r="I123" t="s">
        <v>682</v>
      </c>
      <c r="J123" t="s">
        <v>577</v>
      </c>
      <c r="K123" t="s">
        <v>408</v>
      </c>
      <c r="N123" t="str">
        <f t="shared" si="4"/>
        <v>Verplant</v>
      </c>
      <c r="O123" t="s">
        <v>17</v>
      </c>
      <c r="P123">
        <f t="shared" si="5"/>
        <v>3.5</v>
      </c>
    </row>
    <row r="124" spans="1:16" x14ac:dyDescent="0.25">
      <c r="A124">
        <v>124</v>
      </c>
      <c r="B124" t="s">
        <v>687</v>
      </c>
      <c r="C124" t="s">
        <v>688</v>
      </c>
      <c r="D124" t="s">
        <v>689</v>
      </c>
      <c r="E124">
        <v>35447</v>
      </c>
      <c r="F124" t="s">
        <v>357</v>
      </c>
      <c r="G124" t="s">
        <v>690</v>
      </c>
      <c r="H124" s="2">
        <v>31896</v>
      </c>
      <c r="I124" t="s">
        <v>691</v>
      </c>
      <c r="J124" t="s">
        <v>580</v>
      </c>
      <c r="K124" t="s">
        <v>406</v>
      </c>
      <c r="N124" t="str">
        <f t="shared" si="4"/>
        <v>Verplant</v>
      </c>
      <c r="O124" t="s">
        <v>17</v>
      </c>
      <c r="P124">
        <f t="shared" si="5"/>
        <v>3.5</v>
      </c>
    </row>
    <row r="125" spans="1:16" x14ac:dyDescent="0.25">
      <c r="A125">
        <v>125</v>
      </c>
      <c r="B125" t="s">
        <v>692</v>
      </c>
      <c r="C125" t="s">
        <v>693</v>
      </c>
      <c r="D125" t="s">
        <v>694</v>
      </c>
      <c r="E125">
        <v>35325</v>
      </c>
      <c r="F125" t="s">
        <v>23</v>
      </c>
      <c r="G125" t="s">
        <v>695</v>
      </c>
      <c r="H125" s="2">
        <v>23771</v>
      </c>
      <c r="I125" t="s">
        <v>696</v>
      </c>
      <c r="J125" t="s">
        <v>580</v>
      </c>
      <c r="K125" t="s">
        <v>406</v>
      </c>
      <c r="N125" t="str">
        <f t="shared" si="4"/>
        <v>Verplant</v>
      </c>
      <c r="O125" t="s">
        <v>17</v>
      </c>
      <c r="P125">
        <f t="shared" si="5"/>
        <v>3.5</v>
      </c>
    </row>
    <row r="126" spans="1:16" x14ac:dyDescent="0.25">
      <c r="A126">
        <v>126</v>
      </c>
      <c r="B126" t="s">
        <v>702</v>
      </c>
      <c r="C126" t="s">
        <v>703</v>
      </c>
      <c r="D126" t="s">
        <v>704</v>
      </c>
      <c r="E126">
        <v>35305</v>
      </c>
      <c r="F126" t="s">
        <v>45</v>
      </c>
      <c r="G126" t="s">
        <v>705</v>
      </c>
      <c r="H126" s="2">
        <v>41488</v>
      </c>
      <c r="I126" t="s">
        <v>706</v>
      </c>
      <c r="J126" t="s">
        <v>581</v>
      </c>
      <c r="K126" t="s">
        <v>406</v>
      </c>
      <c r="N126" t="str">
        <f t="shared" si="4"/>
        <v>Verplant</v>
      </c>
      <c r="O126" t="s">
        <v>17</v>
      </c>
      <c r="P126">
        <f t="shared" si="5"/>
        <v>3.5</v>
      </c>
    </row>
    <row r="127" spans="1:16" x14ac:dyDescent="0.25">
      <c r="A127">
        <v>127</v>
      </c>
      <c r="B127" t="s">
        <v>101</v>
      </c>
      <c r="C127" t="s">
        <v>707</v>
      </c>
      <c r="D127" t="s">
        <v>708</v>
      </c>
      <c r="E127">
        <v>35418</v>
      </c>
      <c r="F127" t="s">
        <v>245</v>
      </c>
      <c r="G127" t="s">
        <v>709</v>
      </c>
      <c r="H127" s="2">
        <v>14637</v>
      </c>
      <c r="I127" t="s">
        <v>710</v>
      </c>
      <c r="J127" t="s">
        <v>581</v>
      </c>
      <c r="N127" t="str">
        <f t="shared" si="4"/>
        <v>Unverplant</v>
      </c>
      <c r="O127" t="s">
        <v>17</v>
      </c>
      <c r="P127" t="str">
        <f t="shared" si="5"/>
        <v/>
      </c>
    </row>
    <row r="128" spans="1:16" x14ac:dyDescent="0.25">
      <c r="A128">
        <v>128</v>
      </c>
      <c r="B128" t="s">
        <v>711</v>
      </c>
      <c r="C128" t="s">
        <v>102</v>
      </c>
      <c r="D128" t="s">
        <v>712</v>
      </c>
      <c r="E128">
        <v>35394</v>
      </c>
      <c r="F128" t="s">
        <v>257</v>
      </c>
      <c r="G128" t="s">
        <v>713</v>
      </c>
      <c r="H128" s="2">
        <v>17132</v>
      </c>
      <c r="I128" t="s">
        <v>714</v>
      </c>
      <c r="J128" t="s">
        <v>577</v>
      </c>
      <c r="K128" t="s">
        <v>720</v>
      </c>
      <c r="N128" t="str">
        <f t="shared" si="4"/>
        <v>Verplant</v>
      </c>
      <c r="O128" t="s">
        <v>17</v>
      </c>
      <c r="P128">
        <f t="shared" si="5"/>
        <v>3.5</v>
      </c>
    </row>
    <row r="129" spans="1:16" x14ac:dyDescent="0.25">
      <c r="A129">
        <v>129</v>
      </c>
      <c r="B129" t="s">
        <v>715</v>
      </c>
      <c r="C129" t="s">
        <v>716</v>
      </c>
      <c r="D129" t="s">
        <v>717</v>
      </c>
      <c r="E129">
        <v>353245</v>
      </c>
      <c r="F129" t="s">
        <v>23</v>
      </c>
      <c r="G129" t="s">
        <v>718</v>
      </c>
      <c r="H129" s="2">
        <v>13192</v>
      </c>
      <c r="I129" t="s">
        <v>719</v>
      </c>
      <c r="J129" t="s">
        <v>577</v>
      </c>
      <c r="K129" t="s">
        <v>677</v>
      </c>
      <c r="N129" t="str">
        <f t="shared" si="4"/>
        <v>Verplant</v>
      </c>
      <c r="O129" t="s">
        <v>17</v>
      </c>
      <c r="P129">
        <f t="shared" si="5"/>
        <v>3.5</v>
      </c>
    </row>
    <row r="130" spans="1:16" x14ac:dyDescent="0.25">
      <c r="A130">
        <v>130</v>
      </c>
      <c r="B130" t="s">
        <v>721</v>
      </c>
      <c r="C130" t="s">
        <v>102</v>
      </c>
      <c r="D130" t="s">
        <v>722</v>
      </c>
      <c r="E130">
        <v>35315</v>
      </c>
      <c r="F130" t="s">
        <v>544</v>
      </c>
      <c r="G130" t="s">
        <v>723</v>
      </c>
      <c r="H130" s="2">
        <v>15526</v>
      </c>
      <c r="I130" t="s">
        <v>724</v>
      </c>
      <c r="J130" t="s">
        <v>577</v>
      </c>
      <c r="K130" t="s">
        <v>677</v>
      </c>
      <c r="N130" t="str">
        <f t="shared" si="4"/>
        <v>Verplant</v>
      </c>
      <c r="O130" t="s">
        <v>17</v>
      </c>
      <c r="P130">
        <f t="shared" si="5"/>
        <v>3.5</v>
      </c>
    </row>
    <row r="131" spans="1:16" x14ac:dyDescent="0.25">
      <c r="A131">
        <v>131</v>
      </c>
      <c r="B131" t="s">
        <v>725</v>
      </c>
      <c r="C131" t="s">
        <v>726</v>
      </c>
      <c r="D131" t="s">
        <v>727</v>
      </c>
      <c r="E131">
        <v>35394</v>
      </c>
      <c r="F131" t="s">
        <v>257</v>
      </c>
      <c r="G131" t="s">
        <v>728</v>
      </c>
      <c r="H131" s="2">
        <v>33146</v>
      </c>
      <c r="I131" t="s">
        <v>729</v>
      </c>
      <c r="J131" t="s">
        <v>577</v>
      </c>
      <c r="K131" t="s">
        <v>720</v>
      </c>
      <c r="N131" t="str">
        <f t="shared" si="4"/>
        <v>Verplant</v>
      </c>
      <c r="O131" t="s">
        <v>17</v>
      </c>
      <c r="P131">
        <f t="shared" si="5"/>
        <v>3.5</v>
      </c>
    </row>
    <row r="132" spans="1:16" x14ac:dyDescent="0.25">
      <c r="A132">
        <v>132</v>
      </c>
      <c r="B132" t="s">
        <v>318</v>
      </c>
      <c r="C132" t="s">
        <v>730</v>
      </c>
      <c r="D132" t="s">
        <v>731</v>
      </c>
      <c r="E132">
        <v>35325</v>
      </c>
      <c r="F132" t="s">
        <v>23</v>
      </c>
      <c r="G132" t="s">
        <v>732</v>
      </c>
      <c r="H132" s="2">
        <v>18944</v>
      </c>
      <c r="I132" t="s">
        <v>733</v>
      </c>
      <c r="J132" t="s">
        <v>578</v>
      </c>
      <c r="N132" t="str">
        <f t="shared" si="4"/>
        <v>Unverplant</v>
      </c>
      <c r="O132" t="s">
        <v>17</v>
      </c>
      <c r="P132" t="str">
        <f t="shared" si="5"/>
        <v/>
      </c>
    </row>
    <row r="133" spans="1:16" x14ac:dyDescent="0.25">
      <c r="A133">
        <v>133</v>
      </c>
      <c r="B133" t="s">
        <v>734</v>
      </c>
      <c r="C133" t="s">
        <v>735</v>
      </c>
      <c r="D133" t="s">
        <v>736</v>
      </c>
      <c r="E133">
        <v>35435</v>
      </c>
      <c r="F133" t="s">
        <v>40</v>
      </c>
      <c r="G133" t="s">
        <v>737</v>
      </c>
      <c r="H133" s="2">
        <v>9364</v>
      </c>
      <c r="I133" t="s">
        <v>738</v>
      </c>
      <c r="J133" t="s">
        <v>579</v>
      </c>
      <c r="K133" t="s">
        <v>720</v>
      </c>
      <c r="N133" t="str">
        <f t="shared" si="4"/>
        <v>Verplant</v>
      </c>
      <c r="O133" t="s">
        <v>17</v>
      </c>
      <c r="P133">
        <f t="shared" si="5"/>
        <v>3.5</v>
      </c>
    </row>
    <row r="134" spans="1:16" x14ac:dyDescent="0.25">
      <c r="A134">
        <v>134</v>
      </c>
      <c r="B134" t="s">
        <v>742</v>
      </c>
      <c r="C134" t="s">
        <v>746</v>
      </c>
      <c r="D134" t="s">
        <v>747</v>
      </c>
      <c r="E134">
        <v>35394</v>
      </c>
      <c r="F134" t="s">
        <v>257</v>
      </c>
      <c r="G134" t="s">
        <v>745</v>
      </c>
      <c r="H134" s="2">
        <v>19573</v>
      </c>
      <c r="I134" t="s">
        <v>748</v>
      </c>
      <c r="J134" t="s">
        <v>579</v>
      </c>
      <c r="K134" t="s">
        <v>749</v>
      </c>
      <c r="N134" t="str">
        <f t="shared" si="4"/>
        <v>Verplant</v>
      </c>
      <c r="O134" t="s">
        <v>17</v>
      </c>
      <c r="P134">
        <f t="shared" si="5"/>
        <v>3.5</v>
      </c>
    </row>
    <row r="135" spans="1:16" x14ac:dyDescent="0.25">
      <c r="A135">
        <v>135</v>
      </c>
      <c r="B135" t="s">
        <v>750</v>
      </c>
      <c r="C135" t="s">
        <v>498</v>
      </c>
      <c r="D135" t="s">
        <v>751</v>
      </c>
      <c r="E135">
        <v>35447</v>
      </c>
      <c r="F135" t="s">
        <v>357</v>
      </c>
      <c r="G135" t="s">
        <v>752</v>
      </c>
      <c r="H135" s="2">
        <v>21405</v>
      </c>
      <c r="I135" t="s">
        <v>753</v>
      </c>
      <c r="J135" t="s">
        <v>589</v>
      </c>
      <c r="K135" t="s">
        <v>754</v>
      </c>
      <c r="N135" t="str">
        <f t="shared" si="4"/>
        <v>Verplant</v>
      </c>
      <c r="O135" t="s">
        <v>17</v>
      </c>
      <c r="P135">
        <f t="shared" si="5"/>
        <v>3.5</v>
      </c>
    </row>
    <row r="136" spans="1:16" x14ac:dyDescent="0.25">
      <c r="A136">
        <v>136</v>
      </c>
      <c r="B136" t="s">
        <v>739</v>
      </c>
      <c r="C136" t="s">
        <v>755</v>
      </c>
      <c r="D136" t="s">
        <v>756</v>
      </c>
      <c r="E136">
        <v>35394</v>
      </c>
      <c r="F136" t="s">
        <v>257</v>
      </c>
      <c r="H136" s="2">
        <v>12671</v>
      </c>
      <c r="I136" t="s">
        <v>757</v>
      </c>
      <c r="J136" t="s">
        <v>577</v>
      </c>
      <c r="K136" t="s">
        <v>754</v>
      </c>
      <c r="N136" t="str">
        <f t="shared" si="4"/>
        <v>Verplant</v>
      </c>
      <c r="O136" t="s">
        <v>17</v>
      </c>
      <c r="P136">
        <f t="shared" si="5"/>
        <v>3.5</v>
      </c>
    </row>
    <row r="137" spans="1:16" x14ac:dyDescent="0.25">
      <c r="A137">
        <v>137</v>
      </c>
      <c r="B137" t="s">
        <v>758</v>
      </c>
      <c r="C137" t="s">
        <v>759</v>
      </c>
      <c r="D137" t="s">
        <v>760</v>
      </c>
      <c r="E137">
        <v>35394</v>
      </c>
      <c r="F137" t="s">
        <v>257</v>
      </c>
      <c r="G137" t="s">
        <v>761</v>
      </c>
      <c r="H137" s="2">
        <v>24380</v>
      </c>
      <c r="I137" t="s">
        <v>762</v>
      </c>
      <c r="J137" t="s">
        <v>577</v>
      </c>
      <c r="K137" t="s">
        <v>754</v>
      </c>
      <c r="N137" t="str">
        <f t="shared" si="4"/>
        <v>Verplant</v>
      </c>
      <c r="O137" t="s">
        <v>17</v>
      </c>
      <c r="P137">
        <f t="shared" si="5"/>
        <v>3.5</v>
      </c>
    </row>
    <row r="138" spans="1:16" x14ac:dyDescent="0.25">
      <c r="A138">
        <v>138</v>
      </c>
      <c r="B138" t="s">
        <v>763</v>
      </c>
      <c r="C138" t="s">
        <v>764</v>
      </c>
      <c r="D138" t="s">
        <v>727</v>
      </c>
      <c r="E138">
        <v>35394</v>
      </c>
      <c r="F138" t="s">
        <v>257</v>
      </c>
      <c r="G138" t="s">
        <v>765</v>
      </c>
      <c r="H138" s="2">
        <v>14487</v>
      </c>
      <c r="I138" t="s">
        <v>766</v>
      </c>
      <c r="J138" t="s">
        <v>577</v>
      </c>
      <c r="K138" t="s">
        <v>754</v>
      </c>
      <c r="N138" t="str">
        <f t="shared" si="4"/>
        <v>Verplant</v>
      </c>
      <c r="O138" t="s">
        <v>17</v>
      </c>
      <c r="P138">
        <f t="shared" si="5"/>
        <v>3.5</v>
      </c>
    </row>
    <row r="139" spans="1:16" x14ac:dyDescent="0.25">
      <c r="A139">
        <v>139</v>
      </c>
      <c r="N139" t="str">
        <f t="shared" si="4"/>
        <v>Unverplant</v>
      </c>
      <c r="O139" t="s">
        <v>17</v>
      </c>
      <c r="P139" t="str">
        <f t="shared" si="5"/>
        <v/>
      </c>
    </row>
    <row r="140" spans="1:16" x14ac:dyDescent="0.25">
      <c r="A140">
        <v>140</v>
      </c>
      <c r="N140" t="str">
        <f t="shared" si="4"/>
        <v>Unverplant</v>
      </c>
      <c r="O140" t="s">
        <v>17</v>
      </c>
      <c r="P140" t="str">
        <f t="shared" si="5"/>
        <v/>
      </c>
    </row>
    <row r="141" spans="1:16" x14ac:dyDescent="0.25">
      <c r="A141">
        <v>141</v>
      </c>
      <c r="N141" t="str">
        <f t="shared" si="4"/>
        <v>Unverplant</v>
      </c>
      <c r="O141" t="s">
        <v>17</v>
      </c>
      <c r="P141" t="str">
        <f t="shared" si="5"/>
        <v/>
      </c>
    </row>
    <row r="142" spans="1:16" x14ac:dyDescent="0.25">
      <c r="A142">
        <v>142</v>
      </c>
      <c r="N142" t="str">
        <f t="shared" si="4"/>
        <v>Unverplant</v>
      </c>
      <c r="O142" t="s">
        <v>17</v>
      </c>
      <c r="P142" t="str">
        <f t="shared" si="5"/>
        <v/>
      </c>
    </row>
    <row r="143" spans="1:16" x14ac:dyDescent="0.25">
      <c r="A143">
        <v>143</v>
      </c>
      <c r="N143" t="str">
        <f t="shared" si="4"/>
        <v>Unverplant</v>
      </c>
      <c r="O143" t="s">
        <v>17</v>
      </c>
      <c r="P143" t="str">
        <f t="shared" si="5"/>
        <v/>
      </c>
    </row>
    <row r="144" spans="1:16" x14ac:dyDescent="0.25">
      <c r="A144">
        <v>144</v>
      </c>
      <c r="N144" t="str">
        <f t="shared" si="4"/>
        <v>Unverplant</v>
      </c>
      <c r="O144" t="s">
        <v>17</v>
      </c>
      <c r="P144" t="str">
        <f t="shared" si="5"/>
        <v/>
      </c>
    </row>
    <row r="145" spans="1:16" x14ac:dyDescent="0.25">
      <c r="A145">
        <v>145</v>
      </c>
      <c r="N145" t="str">
        <f t="shared" ref="N145:N200" si="6">IF(O145="Pausiert","Pausiert",IF(O145="Verstorben","Verstorben",IF(O145="Gekündigt","Gekündigt",IF(K145="","Unverplant","Verplant"))))</f>
        <v>Unverplant</v>
      </c>
      <c r="O145" t="s">
        <v>17</v>
      </c>
      <c r="P145" t="str">
        <f t="shared" ref="P145:P200" si="7">IF(N145="Verplant",3.5,"")</f>
        <v/>
      </c>
    </row>
    <row r="146" spans="1:16" x14ac:dyDescent="0.25">
      <c r="A146">
        <v>146</v>
      </c>
      <c r="N146" t="str">
        <f t="shared" si="6"/>
        <v>Unverplant</v>
      </c>
      <c r="O146" t="s">
        <v>17</v>
      </c>
      <c r="P146" t="str">
        <f t="shared" si="7"/>
        <v/>
      </c>
    </row>
    <row r="147" spans="1:16" x14ac:dyDescent="0.25">
      <c r="A147">
        <v>147</v>
      </c>
      <c r="N147" t="str">
        <f t="shared" si="6"/>
        <v>Unverplant</v>
      </c>
      <c r="O147" t="s">
        <v>17</v>
      </c>
      <c r="P147" t="str">
        <f t="shared" si="7"/>
        <v/>
      </c>
    </row>
    <row r="148" spans="1:16" x14ac:dyDescent="0.25">
      <c r="A148">
        <v>148</v>
      </c>
      <c r="N148" t="str">
        <f t="shared" si="6"/>
        <v>Unverplant</v>
      </c>
      <c r="O148" t="s">
        <v>17</v>
      </c>
      <c r="P148" t="str">
        <f t="shared" si="7"/>
        <v/>
      </c>
    </row>
    <row r="149" spans="1:16" x14ac:dyDescent="0.25">
      <c r="A149">
        <v>149</v>
      </c>
      <c r="N149" t="str">
        <f t="shared" si="6"/>
        <v>Unverplant</v>
      </c>
      <c r="O149" t="s">
        <v>17</v>
      </c>
      <c r="P149" t="str">
        <f t="shared" si="7"/>
        <v/>
      </c>
    </row>
    <row r="150" spans="1:16" x14ac:dyDescent="0.25">
      <c r="A150">
        <v>150</v>
      </c>
      <c r="N150" t="str">
        <f t="shared" si="6"/>
        <v>Unverplant</v>
      </c>
      <c r="O150" t="s">
        <v>17</v>
      </c>
      <c r="P150" t="str">
        <f t="shared" si="7"/>
        <v/>
      </c>
    </row>
    <row r="151" spans="1:16" x14ac:dyDescent="0.25">
      <c r="A151">
        <v>151</v>
      </c>
      <c r="N151" t="str">
        <f t="shared" si="6"/>
        <v>Unverplant</v>
      </c>
      <c r="O151" t="s">
        <v>17</v>
      </c>
      <c r="P151" t="str">
        <f t="shared" si="7"/>
        <v/>
      </c>
    </row>
    <row r="152" spans="1:16" x14ac:dyDescent="0.25">
      <c r="A152">
        <v>152</v>
      </c>
      <c r="N152" t="str">
        <f t="shared" si="6"/>
        <v>Unverplant</v>
      </c>
      <c r="O152" t="s">
        <v>17</v>
      </c>
      <c r="P152" t="str">
        <f t="shared" si="7"/>
        <v/>
      </c>
    </row>
    <row r="153" spans="1:16" x14ac:dyDescent="0.25">
      <c r="A153">
        <v>153</v>
      </c>
      <c r="N153" t="str">
        <f t="shared" si="6"/>
        <v>Unverplant</v>
      </c>
      <c r="O153" t="s">
        <v>17</v>
      </c>
      <c r="P153" t="str">
        <f t="shared" si="7"/>
        <v/>
      </c>
    </row>
    <row r="154" spans="1:16" x14ac:dyDescent="0.25">
      <c r="A154">
        <v>154</v>
      </c>
      <c r="N154" t="str">
        <f t="shared" si="6"/>
        <v>Unverplant</v>
      </c>
      <c r="O154" t="s">
        <v>17</v>
      </c>
      <c r="P154" t="str">
        <f t="shared" si="7"/>
        <v/>
      </c>
    </row>
    <row r="155" spans="1:16" x14ac:dyDescent="0.25">
      <c r="A155">
        <v>155</v>
      </c>
      <c r="N155" t="str">
        <f t="shared" si="6"/>
        <v>Unverplant</v>
      </c>
      <c r="O155" t="s">
        <v>17</v>
      </c>
      <c r="P155" t="str">
        <f t="shared" si="7"/>
        <v/>
      </c>
    </row>
    <row r="156" spans="1:16" x14ac:dyDescent="0.25">
      <c r="A156">
        <v>156</v>
      </c>
      <c r="N156" t="str">
        <f t="shared" si="6"/>
        <v>Unverplant</v>
      </c>
      <c r="O156" t="s">
        <v>17</v>
      </c>
      <c r="P156" t="str">
        <f t="shared" si="7"/>
        <v/>
      </c>
    </row>
    <row r="157" spans="1:16" x14ac:dyDescent="0.25">
      <c r="A157">
        <v>157</v>
      </c>
      <c r="N157" t="str">
        <f t="shared" si="6"/>
        <v>Unverplant</v>
      </c>
      <c r="O157" t="s">
        <v>17</v>
      </c>
      <c r="P157" t="str">
        <f t="shared" si="7"/>
        <v/>
      </c>
    </row>
    <row r="158" spans="1:16" x14ac:dyDescent="0.25">
      <c r="A158">
        <v>158</v>
      </c>
      <c r="N158" t="str">
        <f t="shared" si="6"/>
        <v>Unverplant</v>
      </c>
      <c r="O158" t="s">
        <v>17</v>
      </c>
      <c r="P158" t="str">
        <f t="shared" si="7"/>
        <v/>
      </c>
    </row>
    <row r="159" spans="1:16" x14ac:dyDescent="0.25">
      <c r="A159">
        <v>159</v>
      </c>
      <c r="N159" t="str">
        <f t="shared" si="6"/>
        <v>Unverplant</v>
      </c>
      <c r="O159" t="s">
        <v>17</v>
      </c>
      <c r="P159" t="str">
        <f t="shared" si="7"/>
        <v/>
      </c>
    </row>
    <row r="160" spans="1:16" x14ac:dyDescent="0.25">
      <c r="A160">
        <v>160</v>
      </c>
      <c r="N160" t="str">
        <f t="shared" si="6"/>
        <v>Unverplant</v>
      </c>
      <c r="O160" t="s">
        <v>17</v>
      </c>
      <c r="P160" t="str">
        <f t="shared" si="7"/>
        <v/>
      </c>
    </row>
    <row r="161" spans="1:16" x14ac:dyDescent="0.25">
      <c r="A161">
        <v>161</v>
      </c>
      <c r="N161" t="str">
        <f t="shared" si="6"/>
        <v>Unverplant</v>
      </c>
      <c r="O161" t="s">
        <v>17</v>
      </c>
      <c r="P161" t="str">
        <f t="shared" si="7"/>
        <v/>
      </c>
    </row>
    <row r="162" spans="1:16" x14ac:dyDescent="0.25">
      <c r="A162">
        <v>162</v>
      </c>
      <c r="N162" t="str">
        <f t="shared" si="6"/>
        <v>Unverplant</v>
      </c>
      <c r="O162" t="s">
        <v>17</v>
      </c>
      <c r="P162" t="str">
        <f t="shared" si="7"/>
        <v/>
      </c>
    </row>
    <row r="163" spans="1:16" x14ac:dyDescent="0.25">
      <c r="A163">
        <v>163</v>
      </c>
      <c r="N163" t="str">
        <f t="shared" si="6"/>
        <v>Unverplant</v>
      </c>
      <c r="O163" t="s">
        <v>17</v>
      </c>
      <c r="P163" t="str">
        <f t="shared" si="7"/>
        <v/>
      </c>
    </row>
    <row r="164" spans="1:16" x14ac:dyDescent="0.25">
      <c r="A164">
        <v>164</v>
      </c>
      <c r="N164" t="str">
        <f t="shared" si="6"/>
        <v>Unverplant</v>
      </c>
      <c r="O164" t="s">
        <v>17</v>
      </c>
      <c r="P164" t="str">
        <f t="shared" si="7"/>
        <v/>
      </c>
    </row>
    <row r="165" spans="1:16" x14ac:dyDescent="0.25">
      <c r="A165">
        <v>165</v>
      </c>
      <c r="N165" t="str">
        <f t="shared" si="6"/>
        <v>Unverplant</v>
      </c>
      <c r="O165" t="s">
        <v>17</v>
      </c>
      <c r="P165" t="str">
        <f t="shared" si="7"/>
        <v/>
      </c>
    </row>
    <row r="166" spans="1:16" x14ac:dyDescent="0.25">
      <c r="A166">
        <v>166</v>
      </c>
      <c r="N166" t="str">
        <f t="shared" si="6"/>
        <v>Unverplant</v>
      </c>
      <c r="O166" t="s">
        <v>17</v>
      </c>
      <c r="P166" t="str">
        <f t="shared" si="7"/>
        <v/>
      </c>
    </row>
    <row r="167" spans="1:16" x14ac:dyDescent="0.25">
      <c r="A167">
        <v>167</v>
      </c>
      <c r="N167" t="str">
        <f t="shared" si="6"/>
        <v>Unverplant</v>
      </c>
      <c r="O167" t="s">
        <v>17</v>
      </c>
      <c r="P167" t="str">
        <f t="shared" si="7"/>
        <v/>
      </c>
    </row>
    <row r="168" spans="1:16" x14ac:dyDescent="0.25">
      <c r="A168">
        <v>168</v>
      </c>
      <c r="N168" t="str">
        <f t="shared" si="6"/>
        <v>Unverplant</v>
      </c>
      <c r="O168" t="s">
        <v>17</v>
      </c>
      <c r="P168" t="str">
        <f t="shared" si="7"/>
        <v/>
      </c>
    </row>
    <row r="169" spans="1:16" x14ac:dyDescent="0.25">
      <c r="A169">
        <v>169</v>
      </c>
      <c r="N169" t="str">
        <f t="shared" si="6"/>
        <v>Unverplant</v>
      </c>
      <c r="O169" t="s">
        <v>17</v>
      </c>
      <c r="P169" t="str">
        <f t="shared" si="7"/>
        <v/>
      </c>
    </row>
    <row r="170" spans="1:16" x14ac:dyDescent="0.25">
      <c r="A170">
        <v>170</v>
      </c>
      <c r="N170" t="str">
        <f t="shared" si="6"/>
        <v>Unverplant</v>
      </c>
      <c r="O170" t="s">
        <v>17</v>
      </c>
      <c r="P170" t="str">
        <f t="shared" si="7"/>
        <v/>
      </c>
    </row>
    <row r="171" spans="1:16" x14ac:dyDescent="0.25">
      <c r="A171">
        <v>171</v>
      </c>
      <c r="N171" t="str">
        <f t="shared" si="6"/>
        <v>Unverplant</v>
      </c>
      <c r="O171" t="s">
        <v>17</v>
      </c>
      <c r="P171" t="str">
        <f t="shared" si="7"/>
        <v/>
      </c>
    </row>
    <row r="172" spans="1:16" x14ac:dyDescent="0.25">
      <c r="A172">
        <v>172</v>
      </c>
      <c r="N172" t="str">
        <f t="shared" si="6"/>
        <v>Unverplant</v>
      </c>
      <c r="O172" t="s">
        <v>17</v>
      </c>
      <c r="P172" t="str">
        <f t="shared" si="7"/>
        <v/>
      </c>
    </row>
    <row r="173" spans="1:16" x14ac:dyDescent="0.25">
      <c r="A173">
        <v>173</v>
      </c>
      <c r="N173" t="str">
        <f t="shared" si="6"/>
        <v>Unverplant</v>
      </c>
      <c r="O173" t="s">
        <v>17</v>
      </c>
      <c r="P173" t="str">
        <f t="shared" si="7"/>
        <v/>
      </c>
    </row>
    <row r="174" spans="1:16" x14ac:dyDescent="0.25">
      <c r="A174">
        <v>174</v>
      </c>
      <c r="N174" t="str">
        <f t="shared" si="6"/>
        <v>Unverplant</v>
      </c>
      <c r="O174" t="s">
        <v>17</v>
      </c>
      <c r="P174" t="str">
        <f t="shared" si="7"/>
        <v/>
      </c>
    </row>
    <row r="175" spans="1:16" x14ac:dyDescent="0.25">
      <c r="A175">
        <v>175</v>
      </c>
      <c r="N175" t="str">
        <f t="shared" si="6"/>
        <v>Unverplant</v>
      </c>
      <c r="O175" t="s">
        <v>17</v>
      </c>
      <c r="P175" t="str">
        <f t="shared" si="7"/>
        <v/>
      </c>
    </row>
    <row r="176" spans="1:16" x14ac:dyDescent="0.25">
      <c r="A176">
        <v>176</v>
      </c>
      <c r="N176" t="str">
        <f t="shared" si="6"/>
        <v>Unverplant</v>
      </c>
      <c r="O176" t="s">
        <v>17</v>
      </c>
      <c r="P176" t="str">
        <f t="shared" si="7"/>
        <v/>
      </c>
    </row>
    <row r="177" spans="1:16" x14ac:dyDescent="0.25">
      <c r="A177">
        <v>177</v>
      </c>
      <c r="N177" t="str">
        <f t="shared" si="6"/>
        <v>Unverplant</v>
      </c>
      <c r="O177" t="s">
        <v>17</v>
      </c>
      <c r="P177" t="str">
        <f t="shared" si="7"/>
        <v/>
      </c>
    </row>
    <row r="178" spans="1:16" x14ac:dyDescent="0.25">
      <c r="A178">
        <v>178</v>
      </c>
      <c r="N178" t="str">
        <f t="shared" si="6"/>
        <v>Unverplant</v>
      </c>
      <c r="O178" t="s">
        <v>17</v>
      </c>
      <c r="P178" t="str">
        <f t="shared" si="7"/>
        <v/>
      </c>
    </row>
    <row r="179" spans="1:16" x14ac:dyDescent="0.25">
      <c r="A179">
        <v>179</v>
      </c>
      <c r="N179" t="str">
        <f t="shared" si="6"/>
        <v>Unverplant</v>
      </c>
      <c r="O179" t="s">
        <v>17</v>
      </c>
      <c r="P179" t="str">
        <f t="shared" si="7"/>
        <v/>
      </c>
    </row>
    <row r="180" spans="1:16" x14ac:dyDescent="0.25">
      <c r="A180">
        <v>180</v>
      </c>
      <c r="N180" t="str">
        <f t="shared" si="6"/>
        <v>Unverplant</v>
      </c>
      <c r="O180" t="s">
        <v>17</v>
      </c>
      <c r="P180" t="str">
        <f t="shared" si="7"/>
        <v/>
      </c>
    </row>
    <row r="181" spans="1:16" x14ac:dyDescent="0.25">
      <c r="A181">
        <v>181</v>
      </c>
      <c r="N181" t="str">
        <f t="shared" si="6"/>
        <v>Unverplant</v>
      </c>
      <c r="O181" t="s">
        <v>17</v>
      </c>
      <c r="P181" t="str">
        <f t="shared" si="7"/>
        <v/>
      </c>
    </row>
    <row r="182" spans="1:16" x14ac:dyDescent="0.25">
      <c r="A182">
        <v>182</v>
      </c>
      <c r="N182" t="str">
        <f t="shared" si="6"/>
        <v>Unverplant</v>
      </c>
      <c r="O182" t="s">
        <v>17</v>
      </c>
      <c r="P182" t="str">
        <f t="shared" si="7"/>
        <v/>
      </c>
    </row>
    <row r="183" spans="1:16" x14ac:dyDescent="0.25">
      <c r="A183">
        <v>183</v>
      </c>
      <c r="N183" t="str">
        <f t="shared" si="6"/>
        <v>Unverplant</v>
      </c>
      <c r="O183" t="s">
        <v>17</v>
      </c>
      <c r="P183" t="str">
        <f t="shared" si="7"/>
        <v/>
      </c>
    </row>
    <row r="184" spans="1:16" x14ac:dyDescent="0.25">
      <c r="A184">
        <v>184</v>
      </c>
      <c r="N184" t="str">
        <f t="shared" si="6"/>
        <v>Unverplant</v>
      </c>
      <c r="O184" t="s">
        <v>17</v>
      </c>
      <c r="P184" t="str">
        <f t="shared" si="7"/>
        <v/>
      </c>
    </row>
    <row r="185" spans="1:16" x14ac:dyDescent="0.25">
      <c r="A185">
        <v>185</v>
      </c>
      <c r="N185" t="str">
        <f t="shared" si="6"/>
        <v>Unverplant</v>
      </c>
      <c r="O185" t="s">
        <v>17</v>
      </c>
      <c r="P185" t="str">
        <f t="shared" si="7"/>
        <v/>
      </c>
    </row>
    <row r="186" spans="1:16" x14ac:dyDescent="0.25">
      <c r="A186">
        <v>186</v>
      </c>
      <c r="N186" t="str">
        <f t="shared" si="6"/>
        <v>Unverplant</v>
      </c>
      <c r="O186" t="s">
        <v>17</v>
      </c>
      <c r="P186" t="str">
        <f t="shared" si="7"/>
        <v/>
      </c>
    </row>
    <row r="187" spans="1:16" x14ac:dyDescent="0.25">
      <c r="A187">
        <v>187</v>
      </c>
      <c r="N187" t="str">
        <f t="shared" si="6"/>
        <v>Unverplant</v>
      </c>
      <c r="O187" t="s">
        <v>17</v>
      </c>
      <c r="P187" t="str">
        <f t="shared" si="7"/>
        <v/>
      </c>
    </row>
    <row r="188" spans="1:16" x14ac:dyDescent="0.25">
      <c r="A188">
        <v>188</v>
      </c>
      <c r="N188" t="str">
        <f t="shared" si="6"/>
        <v>Unverplant</v>
      </c>
      <c r="O188" t="s">
        <v>17</v>
      </c>
      <c r="P188" t="str">
        <f t="shared" si="7"/>
        <v/>
      </c>
    </row>
    <row r="189" spans="1:16" x14ac:dyDescent="0.25">
      <c r="A189">
        <v>189</v>
      </c>
      <c r="N189" t="str">
        <f t="shared" si="6"/>
        <v>Unverplant</v>
      </c>
      <c r="O189" t="s">
        <v>17</v>
      </c>
      <c r="P189" t="str">
        <f t="shared" si="7"/>
        <v/>
      </c>
    </row>
    <row r="190" spans="1:16" x14ac:dyDescent="0.25">
      <c r="A190">
        <v>190</v>
      </c>
      <c r="N190" t="str">
        <f t="shared" si="6"/>
        <v>Unverplant</v>
      </c>
      <c r="O190" t="s">
        <v>17</v>
      </c>
      <c r="P190" t="str">
        <f t="shared" si="7"/>
        <v/>
      </c>
    </row>
    <row r="191" spans="1:16" x14ac:dyDescent="0.25">
      <c r="A191">
        <v>191</v>
      </c>
      <c r="N191" t="str">
        <f t="shared" si="6"/>
        <v>Unverplant</v>
      </c>
      <c r="O191" t="s">
        <v>17</v>
      </c>
      <c r="P191" t="str">
        <f t="shared" si="7"/>
        <v/>
      </c>
    </row>
    <row r="192" spans="1:16" x14ac:dyDescent="0.25">
      <c r="A192">
        <v>192</v>
      </c>
      <c r="N192" t="str">
        <f t="shared" si="6"/>
        <v>Unverplant</v>
      </c>
      <c r="O192" t="s">
        <v>17</v>
      </c>
      <c r="P192" t="str">
        <f t="shared" si="7"/>
        <v/>
      </c>
    </row>
    <row r="193" spans="1:16" x14ac:dyDescent="0.25">
      <c r="A193">
        <v>193</v>
      </c>
      <c r="N193" t="str">
        <f t="shared" si="6"/>
        <v>Unverplant</v>
      </c>
      <c r="O193" t="s">
        <v>17</v>
      </c>
      <c r="P193" t="str">
        <f t="shared" si="7"/>
        <v/>
      </c>
    </row>
    <row r="194" spans="1:16" x14ac:dyDescent="0.25">
      <c r="A194">
        <v>194</v>
      </c>
      <c r="N194" t="str">
        <f t="shared" si="6"/>
        <v>Unverplant</v>
      </c>
      <c r="O194" t="s">
        <v>17</v>
      </c>
      <c r="P194" t="str">
        <f t="shared" si="7"/>
        <v/>
      </c>
    </row>
    <row r="195" spans="1:16" x14ac:dyDescent="0.25">
      <c r="A195">
        <v>195</v>
      </c>
      <c r="N195" t="str">
        <f t="shared" si="6"/>
        <v>Unverplant</v>
      </c>
      <c r="O195" t="s">
        <v>17</v>
      </c>
      <c r="P195" t="str">
        <f t="shared" si="7"/>
        <v/>
      </c>
    </row>
    <row r="196" spans="1:16" x14ac:dyDescent="0.25">
      <c r="A196">
        <v>196</v>
      </c>
      <c r="N196" t="str">
        <f t="shared" si="6"/>
        <v>Unverplant</v>
      </c>
      <c r="O196" t="s">
        <v>17</v>
      </c>
      <c r="P196" t="str">
        <f t="shared" si="7"/>
        <v/>
      </c>
    </row>
    <row r="197" spans="1:16" x14ac:dyDescent="0.25">
      <c r="A197">
        <v>197</v>
      </c>
      <c r="N197" t="str">
        <f t="shared" si="6"/>
        <v>Unverplant</v>
      </c>
      <c r="O197" t="s">
        <v>17</v>
      </c>
      <c r="P197" t="str">
        <f t="shared" si="7"/>
        <v/>
      </c>
    </row>
    <row r="198" spans="1:16" x14ac:dyDescent="0.25">
      <c r="A198">
        <v>198</v>
      </c>
      <c r="N198" t="str">
        <f t="shared" si="6"/>
        <v>Unverplant</v>
      </c>
      <c r="O198" t="s">
        <v>17</v>
      </c>
      <c r="P198" t="str">
        <f t="shared" si="7"/>
        <v/>
      </c>
    </row>
    <row r="199" spans="1:16" x14ac:dyDescent="0.25">
      <c r="A199">
        <v>199</v>
      </c>
      <c r="N199" t="str">
        <f t="shared" si="6"/>
        <v>Unverplant</v>
      </c>
      <c r="O199" t="s">
        <v>17</v>
      </c>
      <c r="P199" t="str">
        <f t="shared" si="7"/>
        <v/>
      </c>
    </row>
    <row r="200" spans="1:16" x14ac:dyDescent="0.25">
      <c r="A200">
        <v>200</v>
      </c>
      <c r="N200" t="str">
        <f t="shared" si="6"/>
        <v>Unverplant</v>
      </c>
      <c r="O200" t="s">
        <v>17</v>
      </c>
      <c r="P200" t="str">
        <f t="shared" si="7"/>
        <v/>
      </c>
    </row>
  </sheetData>
  <conditionalFormatting sqref="A27:I28 K27:P28 J27 A2:P26 A29:P200">
    <cfRule type="expression" dxfId="9" priority="11">
      <formula>$N2="Verstorben"</formula>
    </cfRule>
    <cfRule type="expression" dxfId="8" priority="12">
      <formula>$N2="Gekündigt"</formula>
    </cfRule>
    <cfRule type="expression" dxfId="7" priority="13">
      <formula>$N2="Unverplant"</formula>
    </cfRule>
    <cfRule type="expression" dxfId="6" priority="14">
      <formula>$N2="Verplant"</formula>
    </cfRule>
    <cfRule type="expression" dxfId="5" priority="15">
      <formula>$N2="Pausiert"</formula>
    </cfRule>
  </conditionalFormatting>
  <conditionalFormatting sqref="J28">
    <cfRule type="expression" dxfId="4" priority="21">
      <formula>$N27="Verstorben"</formula>
    </cfRule>
    <cfRule type="expression" dxfId="3" priority="22">
      <formula>$N27="Gekündigt"</formula>
    </cfRule>
    <cfRule type="expression" dxfId="2" priority="23">
      <formula>$N27="Unverplant"</formula>
    </cfRule>
    <cfRule type="expression" dxfId="1" priority="24">
      <formula>$N27="Verplant"</formula>
    </cfRule>
    <cfRule type="expression" dxfId="0" priority="25">
      <formula>$N27="Pausiert"</formula>
    </cfRule>
  </conditionalFormatting>
  <dataValidations count="1">
    <dataValidation type="list" allowBlank="1" showInputMessage="1" showErrorMessage="1" sqref="O2:O200" xr:uid="{4367EF7A-A46A-4D3F-A602-AA117BEE14F1}">
      <formula1>"Pausiert,Verstorben,Aktiv,Gekündigt"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F12507-8C58-4E8C-82C7-38DD142592D5}">
          <x14:formula1>
            <xm:f>Mitarbeiter!$J$2:$J$21</xm:f>
          </x14:formula1>
          <xm:sqref>K2:K200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D6524-E531-41C4-B781-DAA1F41B9A80}">
  <dimension ref="A1:N35"/>
  <sheetViews>
    <sheetView topLeftCell="A4" workbookViewId="0">
      <selection activeCell="G21" sqref="G21"/>
    </sheetView>
  </sheetViews>
  <sheetFormatPr baseColWidth="10" defaultRowHeight="15" x14ac:dyDescent="0.25"/>
  <cols>
    <col min="1" max="1" width="18.140625" bestFit="1" customWidth="1"/>
    <col min="2" max="2" width="13.140625" customWidth="1"/>
    <col min="4" max="4" width="15.28515625" customWidth="1"/>
    <col min="8" max="9" width="18.5703125" customWidth="1"/>
    <col min="10" max="10" width="14.85546875" bestFit="1" customWidth="1"/>
  </cols>
  <sheetData>
    <row r="1" spans="1:14" x14ac:dyDescent="0.25">
      <c r="A1" t="s">
        <v>8</v>
      </c>
      <c r="B1" t="s">
        <v>9</v>
      </c>
      <c r="C1" t="s">
        <v>10</v>
      </c>
      <c r="D1" t="s">
        <v>0</v>
      </c>
      <c r="E1" t="s">
        <v>1</v>
      </c>
      <c r="F1" t="s">
        <v>11</v>
      </c>
      <c r="G1" t="s">
        <v>12</v>
      </c>
      <c r="H1" t="s">
        <v>13</v>
      </c>
      <c r="I1" t="s">
        <v>14</v>
      </c>
      <c r="J1" t="s">
        <v>18</v>
      </c>
      <c r="K1" t="s">
        <v>33</v>
      </c>
    </row>
    <row r="2" spans="1:14" x14ac:dyDescent="0.25">
      <c r="A2">
        <v>1</v>
      </c>
      <c r="B2" t="s">
        <v>20</v>
      </c>
      <c r="C2" t="s">
        <v>21</v>
      </c>
      <c r="D2" t="s">
        <v>22</v>
      </c>
      <c r="E2">
        <v>35325</v>
      </c>
      <c r="F2" t="s">
        <v>23</v>
      </c>
      <c r="G2" t="s">
        <v>24</v>
      </c>
      <c r="H2">
        <f>I2/3.5</f>
        <v>8</v>
      </c>
      <c r="I2">
        <f>IF(J2="","",SUMIF(Kundentabelle!K:K,Mitarbeiter!J:J,Kundentabelle!P:P))</f>
        <v>28</v>
      </c>
      <c r="J2" t="str">
        <f>CONCATENATE(C2," ",B2)</f>
        <v>Sabine Unger</v>
      </c>
      <c r="K2" s="1" t="s">
        <v>36</v>
      </c>
    </row>
    <row r="3" spans="1:14" x14ac:dyDescent="0.25">
      <c r="A3">
        <v>2</v>
      </c>
      <c r="B3" t="s">
        <v>25</v>
      </c>
      <c r="C3" t="s">
        <v>26</v>
      </c>
      <c r="D3" t="s">
        <v>27</v>
      </c>
      <c r="E3">
        <v>35325</v>
      </c>
      <c r="F3" t="s">
        <v>23</v>
      </c>
      <c r="G3" t="s">
        <v>28</v>
      </c>
      <c r="H3">
        <f>I3/3.5</f>
        <v>3</v>
      </c>
      <c r="I3">
        <f>IF(J3="","",SUMIF(Kundentabelle!K:K,Mitarbeiter!J:J,Kundentabelle!P:P))</f>
        <v>10.5</v>
      </c>
      <c r="J3" t="str">
        <f>CONCATENATE(C3," ",B3)</f>
        <v>Alexandra Kern</v>
      </c>
      <c r="K3" s="1" t="s">
        <v>35</v>
      </c>
    </row>
    <row r="4" spans="1:14" x14ac:dyDescent="0.25">
      <c r="A4">
        <v>3</v>
      </c>
      <c r="B4" t="s">
        <v>29</v>
      </c>
      <c r="C4" t="s">
        <v>30</v>
      </c>
      <c r="D4" t="s">
        <v>31</v>
      </c>
      <c r="E4">
        <v>35325</v>
      </c>
      <c r="F4" t="s">
        <v>23</v>
      </c>
      <c r="G4" t="s">
        <v>32</v>
      </c>
      <c r="H4">
        <f>I4/3.5</f>
        <v>7</v>
      </c>
      <c r="I4">
        <f>IF(J4="","",SUMIF(Kundentabelle!K:K,Mitarbeiter!J:J,Kundentabelle!P:P))</f>
        <v>24.5</v>
      </c>
      <c r="J4" t="str">
        <f>CONCATENATE(C4," ",B4)</f>
        <v>Laura Westphal</v>
      </c>
      <c r="K4" s="1" t="s">
        <v>34</v>
      </c>
    </row>
    <row r="5" spans="1:14" x14ac:dyDescent="0.25">
      <c r="A5">
        <v>4</v>
      </c>
      <c r="B5" t="s">
        <v>37</v>
      </c>
      <c r="C5" t="s">
        <v>38</v>
      </c>
      <c r="D5" t="s">
        <v>39</v>
      </c>
      <c r="E5">
        <v>35435</v>
      </c>
      <c r="F5" t="s">
        <v>40</v>
      </c>
      <c r="G5" t="s">
        <v>41</v>
      </c>
      <c r="H5">
        <f>I5/3.5</f>
        <v>10</v>
      </c>
      <c r="I5">
        <f>IF(J5="","",SUMIF(Kundentabelle!K:K,Mitarbeiter!J:J,Kundentabelle!P:P))</f>
        <v>35</v>
      </c>
      <c r="J5" t="str">
        <f>CONCATENATE(C5," ",B5)</f>
        <v>Michaela Meß</v>
      </c>
    </row>
    <row r="6" spans="1:14" x14ac:dyDescent="0.25">
      <c r="A6">
        <v>5</v>
      </c>
      <c r="B6" t="s">
        <v>42</v>
      </c>
      <c r="C6" t="s">
        <v>43</v>
      </c>
      <c r="D6" t="s">
        <v>44</v>
      </c>
      <c r="E6">
        <v>35305</v>
      </c>
      <c r="F6" t="s">
        <v>45</v>
      </c>
      <c r="G6" t="s">
        <v>46</v>
      </c>
      <c r="H6">
        <f t="shared" ref="H6:H35" si="0">I6/3.5</f>
        <v>30</v>
      </c>
      <c r="I6">
        <f>IF(J6="","",SUMIF(Kundentabelle!K:K,Mitarbeiter!J:J,Kundentabelle!P:P))</f>
        <v>105</v>
      </c>
      <c r="J6" t="str">
        <f t="shared" ref="J6:J35" si="1">CONCATENATE(C6," ",B6)</f>
        <v>Anja Bayer-Kratz</v>
      </c>
      <c r="K6" s="1" t="s">
        <v>47</v>
      </c>
    </row>
    <row r="7" spans="1:14" x14ac:dyDescent="0.25">
      <c r="A7">
        <v>6</v>
      </c>
      <c r="B7" t="s">
        <v>48</v>
      </c>
      <c r="C7" t="s">
        <v>49</v>
      </c>
      <c r="D7" t="s">
        <v>50</v>
      </c>
      <c r="E7">
        <v>35325</v>
      </c>
      <c r="F7" t="s">
        <v>23</v>
      </c>
      <c r="G7" t="s">
        <v>51</v>
      </c>
      <c r="H7">
        <f t="shared" si="0"/>
        <v>1</v>
      </c>
      <c r="I7">
        <f>IF(J7="","",SUMIF(Kundentabelle!K:K,Mitarbeiter!J:J,Kundentabelle!P:P))</f>
        <v>3.5</v>
      </c>
      <c r="J7" t="str">
        <f t="shared" si="1"/>
        <v>Peter Kratz</v>
      </c>
      <c r="K7" s="1" t="s">
        <v>52</v>
      </c>
      <c r="N7" t="s">
        <v>557</v>
      </c>
    </row>
    <row r="8" spans="1:14" x14ac:dyDescent="0.25">
      <c r="A8">
        <v>7</v>
      </c>
      <c r="B8" t="s">
        <v>53</v>
      </c>
      <c r="C8" t="s">
        <v>54</v>
      </c>
      <c r="D8" t="s">
        <v>55</v>
      </c>
      <c r="E8">
        <v>35325</v>
      </c>
      <c r="F8" t="s">
        <v>23</v>
      </c>
      <c r="G8" t="s">
        <v>57</v>
      </c>
      <c r="H8">
        <f t="shared" si="0"/>
        <v>7</v>
      </c>
      <c r="I8">
        <f>IF(J8="","",SUMIF(Kundentabelle!K:K,Mitarbeiter!J:J,Kundentabelle!P:P))</f>
        <v>24.5</v>
      </c>
      <c r="J8" t="str">
        <f t="shared" si="1"/>
        <v>Hannah Elisa Becker</v>
      </c>
      <c r="K8" s="1" t="s">
        <v>58</v>
      </c>
    </row>
    <row r="9" spans="1:14" x14ac:dyDescent="0.25">
      <c r="A9">
        <v>8</v>
      </c>
      <c r="B9" t="s">
        <v>59</v>
      </c>
      <c r="C9" t="s">
        <v>60</v>
      </c>
      <c r="D9" t="s">
        <v>61</v>
      </c>
      <c r="E9">
        <v>35325</v>
      </c>
      <c r="F9" t="s">
        <v>23</v>
      </c>
      <c r="G9" t="s">
        <v>62</v>
      </c>
      <c r="H9">
        <f t="shared" si="0"/>
        <v>7</v>
      </c>
      <c r="I9">
        <f>IF(J9="","",SUMIF(Kundentabelle!K:K,Mitarbeiter!J:J,Kundentabelle!P:P))</f>
        <v>24.5</v>
      </c>
      <c r="J9" t="str">
        <f t="shared" si="1"/>
        <v>Lyn Ulrike Jantosca</v>
      </c>
      <c r="K9" s="1" t="s">
        <v>63</v>
      </c>
    </row>
    <row r="10" spans="1:14" x14ac:dyDescent="0.25">
      <c r="A10">
        <v>9</v>
      </c>
      <c r="B10" t="s">
        <v>64</v>
      </c>
      <c r="C10" t="s">
        <v>65</v>
      </c>
      <c r="D10" t="s">
        <v>66</v>
      </c>
      <c r="E10">
        <v>35325</v>
      </c>
      <c r="F10" t="s">
        <v>23</v>
      </c>
      <c r="G10" t="s">
        <v>67</v>
      </c>
      <c r="H10">
        <f t="shared" si="0"/>
        <v>29</v>
      </c>
      <c r="I10">
        <f>IF(J10="","",SUMIF(Kundentabelle!K:K,Mitarbeiter!J:J,Kundentabelle!P:P))</f>
        <v>101.5</v>
      </c>
      <c r="J10" t="str">
        <f t="shared" si="1"/>
        <v>Andrea Druschel</v>
      </c>
      <c r="K10" s="1" t="s">
        <v>68</v>
      </c>
    </row>
    <row r="11" spans="1:14" x14ac:dyDescent="0.25">
      <c r="A11">
        <v>10</v>
      </c>
      <c r="B11" t="s">
        <v>69</v>
      </c>
      <c r="C11" t="s">
        <v>70</v>
      </c>
      <c r="D11" t="s">
        <v>71</v>
      </c>
      <c r="E11">
        <v>35325</v>
      </c>
      <c r="F11" t="s">
        <v>23</v>
      </c>
      <c r="G11" t="s">
        <v>72</v>
      </c>
      <c r="H11">
        <f t="shared" si="0"/>
        <v>2</v>
      </c>
      <c r="I11">
        <f>IF(J11="","",SUMIF(Kundentabelle!K:K,Mitarbeiter!J:J,Kundentabelle!P:P))</f>
        <v>7</v>
      </c>
      <c r="J11" t="str">
        <f t="shared" si="1"/>
        <v>Astrid Sinn</v>
      </c>
      <c r="K11" s="1" t="s">
        <v>73</v>
      </c>
      <c r="M11" t="s">
        <v>556</v>
      </c>
    </row>
    <row r="12" spans="1:14" x14ac:dyDescent="0.25">
      <c r="A12">
        <v>11</v>
      </c>
      <c r="B12" t="s">
        <v>74</v>
      </c>
      <c r="C12" t="s">
        <v>75</v>
      </c>
      <c r="D12" t="s">
        <v>76</v>
      </c>
      <c r="E12">
        <v>35440</v>
      </c>
      <c r="F12" t="s">
        <v>77</v>
      </c>
      <c r="G12" t="s">
        <v>78</v>
      </c>
      <c r="H12">
        <f t="shared" si="0"/>
        <v>2</v>
      </c>
      <c r="I12">
        <f>IF(J12="","",SUMIF(Kundentabelle!K:K,Mitarbeiter!J:J,Kundentabelle!P:P))</f>
        <v>7</v>
      </c>
      <c r="J12" t="str">
        <f t="shared" si="1"/>
        <v>Julian Kuplewatzky</v>
      </c>
      <c r="K12" s="1" t="s">
        <v>79</v>
      </c>
    </row>
    <row r="13" spans="1:14" x14ac:dyDescent="0.25">
      <c r="A13">
        <v>12</v>
      </c>
      <c r="B13" t="s">
        <v>80</v>
      </c>
      <c r="C13" t="s">
        <v>65</v>
      </c>
      <c r="D13" t="s">
        <v>81</v>
      </c>
      <c r="E13">
        <v>35325</v>
      </c>
      <c r="F13" t="s">
        <v>23</v>
      </c>
      <c r="G13" t="s">
        <v>82</v>
      </c>
      <c r="H13">
        <f t="shared" si="0"/>
        <v>1</v>
      </c>
      <c r="I13">
        <f>IF(J13="","",SUMIF(Kundentabelle!K:K,Mitarbeiter!J:J,Kundentabelle!P:P))</f>
        <v>3.5</v>
      </c>
      <c r="J13" t="str">
        <f t="shared" si="1"/>
        <v>Andrea Merita</v>
      </c>
      <c r="K13" s="1" t="s">
        <v>83</v>
      </c>
      <c r="L13" t="s">
        <v>84</v>
      </c>
    </row>
    <row r="14" spans="1:14" x14ac:dyDescent="0.25">
      <c r="A14">
        <v>13</v>
      </c>
      <c r="B14" t="s">
        <v>85</v>
      </c>
      <c r="C14" t="s">
        <v>86</v>
      </c>
      <c r="D14" t="s">
        <v>87</v>
      </c>
      <c r="E14">
        <v>35325</v>
      </c>
      <c r="F14" t="s">
        <v>23</v>
      </c>
      <c r="G14" t="s">
        <v>88</v>
      </c>
      <c r="H14">
        <f t="shared" si="0"/>
        <v>1</v>
      </c>
      <c r="I14">
        <f>IF(J14="","",SUMIF(Kundentabelle!K:K,Mitarbeiter!J:J,Kundentabelle!P:P))</f>
        <v>3.5</v>
      </c>
      <c r="J14" t="str">
        <f t="shared" si="1"/>
        <v>Silke Börger-Engel</v>
      </c>
      <c r="K14" s="1" t="s">
        <v>89</v>
      </c>
      <c r="L14" t="s">
        <v>90</v>
      </c>
    </row>
    <row r="15" spans="1:14" x14ac:dyDescent="0.25">
      <c r="A15">
        <v>14</v>
      </c>
      <c r="B15" t="s">
        <v>476</v>
      </c>
      <c r="C15" t="s">
        <v>313</v>
      </c>
      <c r="D15" t="s">
        <v>479</v>
      </c>
      <c r="E15">
        <v>35325</v>
      </c>
      <c r="F15" t="s">
        <v>23</v>
      </c>
      <c r="G15" t="s">
        <v>480</v>
      </c>
      <c r="H15">
        <f t="shared" si="0"/>
        <v>1</v>
      </c>
      <c r="I15">
        <f>IF(J15="","",SUMIF(Kundentabelle!K:K,Mitarbeiter!J:J,Kundentabelle!P:P))</f>
        <v>3.5</v>
      </c>
      <c r="J15" t="str">
        <f t="shared" si="1"/>
        <v>Inge Schulz</v>
      </c>
      <c r="L15" t="s">
        <v>84</v>
      </c>
    </row>
    <row r="16" spans="1:14" x14ac:dyDescent="0.25">
      <c r="A16">
        <v>15</v>
      </c>
      <c r="B16" t="s">
        <v>538</v>
      </c>
      <c r="C16" t="s">
        <v>539</v>
      </c>
      <c r="D16" t="s">
        <v>540</v>
      </c>
      <c r="E16">
        <v>35325</v>
      </c>
      <c r="F16" t="s">
        <v>23</v>
      </c>
      <c r="H16">
        <f t="shared" si="0"/>
        <v>2</v>
      </c>
      <c r="I16">
        <f>IF(J16="","",SUMIF(Kundentabelle!K:K,Mitarbeiter!J:J,Kundentabelle!P:P))</f>
        <v>7</v>
      </c>
      <c r="J16" t="str">
        <f t="shared" si="1"/>
        <v>Katarina Sicaja</v>
      </c>
      <c r="M16" t="s">
        <v>558</v>
      </c>
    </row>
    <row r="17" spans="1:11" x14ac:dyDescent="0.25">
      <c r="A17">
        <v>16</v>
      </c>
      <c r="B17" t="s">
        <v>612</v>
      </c>
      <c r="C17" t="s">
        <v>30</v>
      </c>
      <c r="D17" t="s">
        <v>613</v>
      </c>
      <c r="E17">
        <v>35325</v>
      </c>
      <c r="F17" t="s">
        <v>23</v>
      </c>
      <c r="G17" t="s">
        <v>614</v>
      </c>
      <c r="H17">
        <f t="shared" si="0"/>
        <v>1</v>
      </c>
      <c r="I17">
        <f>IF(J17="","",SUMIF(Kundentabelle!K:K,Mitarbeiter!J:J,Kundentabelle!P:P))</f>
        <v>3.5</v>
      </c>
      <c r="J17" t="str">
        <f t="shared" si="1"/>
        <v>Laura Schneemann</v>
      </c>
    </row>
    <row r="18" spans="1:11" x14ac:dyDescent="0.25">
      <c r="A18">
        <v>17</v>
      </c>
      <c r="B18" t="s">
        <v>675</v>
      </c>
      <c r="C18" t="s">
        <v>676</v>
      </c>
      <c r="D18" t="s">
        <v>684</v>
      </c>
      <c r="E18">
        <v>35325</v>
      </c>
      <c r="F18" t="s">
        <v>23</v>
      </c>
      <c r="G18" t="s">
        <v>685</v>
      </c>
      <c r="H18">
        <f t="shared" si="0"/>
        <v>11</v>
      </c>
      <c r="I18">
        <f>IF(J18="","",SUMIF(Kundentabelle!K:K,Mitarbeiter!J:J,Kundentabelle!P:P))</f>
        <v>38.5</v>
      </c>
      <c r="J18" t="str">
        <f t="shared" si="1"/>
        <v>Tamara Geiss</v>
      </c>
      <c r="K18" s="1" t="s">
        <v>686</v>
      </c>
    </row>
    <row r="19" spans="1:11" x14ac:dyDescent="0.25">
      <c r="A19">
        <v>18</v>
      </c>
      <c r="B19" t="s">
        <v>697</v>
      </c>
      <c r="C19" t="s">
        <v>698</v>
      </c>
      <c r="D19" t="s">
        <v>699</v>
      </c>
      <c r="E19">
        <v>35452</v>
      </c>
      <c r="F19" t="s">
        <v>700</v>
      </c>
      <c r="G19" t="s">
        <v>701</v>
      </c>
      <c r="H19">
        <f t="shared" si="0"/>
        <v>3</v>
      </c>
      <c r="I19">
        <f>IF(J19="","",SUMIF(Kundentabelle!K:K,Mitarbeiter!J:J,Kundentabelle!P:P))</f>
        <v>10.5</v>
      </c>
      <c r="J19" t="str">
        <f t="shared" si="1"/>
        <v>Thalia Steinbrecher</v>
      </c>
    </row>
    <row r="20" spans="1:11" x14ac:dyDescent="0.25">
      <c r="A20">
        <v>19</v>
      </c>
      <c r="B20" t="s">
        <v>739</v>
      </c>
      <c r="C20" t="s">
        <v>740</v>
      </c>
      <c r="D20" t="s">
        <v>741</v>
      </c>
      <c r="E20">
        <v>35394</v>
      </c>
      <c r="F20" t="s">
        <v>257</v>
      </c>
      <c r="H20">
        <f t="shared" si="0"/>
        <v>4</v>
      </c>
      <c r="I20">
        <f>IF(J20="","",SUMIF(Kundentabelle!K:K,Mitarbeiter!J:J,Kundentabelle!P:P))</f>
        <v>14</v>
      </c>
      <c r="J20" t="str">
        <f t="shared" si="1"/>
        <v>Johannes Braun</v>
      </c>
    </row>
    <row r="21" spans="1:11" x14ac:dyDescent="0.25">
      <c r="A21">
        <v>20</v>
      </c>
      <c r="B21" t="s">
        <v>742</v>
      </c>
      <c r="C21" t="s">
        <v>743</v>
      </c>
      <c r="D21" t="s">
        <v>744</v>
      </c>
      <c r="E21">
        <v>35394</v>
      </c>
      <c r="F21" t="s">
        <v>257</v>
      </c>
      <c r="G21" t="s">
        <v>745</v>
      </c>
      <c r="H21">
        <f t="shared" si="0"/>
        <v>1</v>
      </c>
      <c r="I21">
        <f>IF(J21="","",SUMIF(Kundentabelle!K:K,Mitarbeiter!J:J,Kundentabelle!P:P))</f>
        <v>3.5</v>
      </c>
      <c r="J21" t="str">
        <f t="shared" si="1"/>
        <v>Kristine Labussek</v>
      </c>
    </row>
    <row r="22" spans="1:11" x14ac:dyDescent="0.25">
      <c r="A22">
        <v>21</v>
      </c>
      <c r="H22">
        <f t="shared" si="0"/>
        <v>1</v>
      </c>
      <c r="I22">
        <f>IF(J22="","",SUMIF(Kundentabelle!K:K,Mitarbeiter!J:J,Kundentabelle!P:P))</f>
        <v>3.5</v>
      </c>
      <c r="J22" t="str">
        <f t="shared" si="1"/>
        <v xml:space="preserve"> </v>
      </c>
    </row>
    <row r="23" spans="1:11" x14ac:dyDescent="0.25">
      <c r="A23">
        <v>22</v>
      </c>
      <c r="H23">
        <f t="shared" si="0"/>
        <v>1</v>
      </c>
      <c r="I23">
        <f>IF(J23="","",SUMIF(Kundentabelle!K:K,Mitarbeiter!J:J,Kundentabelle!P:P))</f>
        <v>3.5</v>
      </c>
      <c r="J23" t="str">
        <f t="shared" si="1"/>
        <v xml:space="preserve"> </v>
      </c>
    </row>
    <row r="24" spans="1:11" x14ac:dyDescent="0.25">
      <c r="A24">
        <v>23</v>
      </c>
      <c r="H24">
        <f t="shared" si="0"/>
        <v>1</v>
      </c>
      <c r="I24">
        <f>IF(J24="","",SUMIF(Kundentabelle!K:K,Mitarbeiter!J:J,Kundentabelle!P:P))</f>
        <v>3.5</v>
      </c>
      <c r="J24" t="str">
        <f t="shared" si="1"/>
        <v xml:space="preserve"> </v>
      </c>
    </row>
    <row r="25" spans="1:11" x14ac:dyDescent="0.25">
      <c r="A25">
        <v>24</v>
      </c>
      <c r="H25">
        <f t="shared" si="0"/>
        <v>1</v>
      </c>
      <c r="I25">
        <f>IF(J25="","",SUMIF(Kundentabelle!K:K,Mitarbeiter!J:J,Kundentabelle!P:P))</f>
        <v>3.5</v>
      </c>
      <c r="J25" t="str">
        <f t="shared" si="1"/>
        <v xml:space="preserve"> </v>
      </c>
    </row>
    <row r="26" spans="1:11" x14ac:dyDescent="0.25">
      <c r="A26">
        <v>25</v>
      </c>
      <c r="H26">
        <f t="shared" si="0"/>
        <v>1</v>
      </c>
      <c r="I26">
        <f>IF(J26="","",SUMIF(Kundentabelle!K:K,Mitarbeiter!J:J,Kundentabelle!P:P))</f>
        <v>3.5</v>
      </c>
      <c r="J26" t="str">
        <f t="shared" si="1"/>
        <v xml:space="preserve"> </v>
      </c>
    </row>
    <row r="27" spans="1:11" x14ac:dyDescent="0.25">
      <c r="A27">
        <v>26</v>
      </c>
      <c r="H27">
        <f t="shared" si="0"/>
        <v>1</v>
      </c>
      <c r="I27">
        <f>IF(J27="","",SUMIF(Kundentabelle!K:K,Mitarbeiter!J:J,Kundentabelle!P:P))</f>
        <v>3.5</v>
      </c>
      <c r="J27" t="str">
        <f t="shared" si="1"/>
        <v xml:space="preserve"> </v>
      </c>
    </row>
    <row r="28" spans="1:11" x14ac:dyDescent="0.25">
      <c r="A28">
        <v>27</v>
      </c>
      <c r="H28">
        <f t="shared" si="0"/>
        <v>1</v>
      </c>
      <c r="I28">
        <f>IF(J28="","",SUMIF(Kundentabelle!K:K,Mitarbeiter!J:J,Kundentabelle!P:P))</f>
        <v>3.5</v>
      </c>
      <c r="J28" t="str">
        <f t="shared" si="1"/>
        <v xml:space="preserve"> </v>
      </c>
    </row>
    <row r="29" spans="1:11" x14ac:dyDescent="0.25">
      <c r="A29">
        <v>28</v>
      </c>
      <c r="H29">
        <f t="shared" si="0"/>
        <v>1</v>
      </c>
      <c r="I29">
        <f>IF(J29="","",SUMIF(Kundentabelle!K:K,Mitarbeiter!J:J,Kundentabelle!P:P))</f>
        <v>3.5</v>
      </c>
      <c r="J29" t="str">
        <f t="shared" si="1"/>
        <v xml:space="preserve"> </v>
      </c>
    </row>
    <row r="30" spans="1:11" x14ac:dyDescent="0.25">
      <c r="A30">
        <v>29</v>
      </c>
      <c r="H30">
        <f t="shared" si="0"/>
        <v>1</v>
      </c>
      <c r="I30">
        <f>IF(J30="","",SUMIF(Kundentabelle!K:K,Mitarbeiter!J:J,Kundentabelle!P:P))</f>
        <v>3.5</v>
      </c>
      <c r="J30" t="str">
        <f t="shared" si="1"/>
        <v xml:space="preserve"> </v>
      </c>
    </row>
    <row r="31" spans="1:11" x14ac:dyDescent="0.25">
      <c r="A31">
        <v>30</v>
      </c>
      <c r="H31">
        <f t="shared" si="0"/>
        <v>1</v>
      </c>
      <c r="I31">
        <f>IF(J31="","",SUMIF(Kundentabelle!K:K,Mitarbeiter!J:J,Kundentabelle!P:P))</f>
        <v>3.5</v>
      </c>
      <c r="J31" t="str">
        <f t="shared" si="1"/>
        <v xml:space="preserve"> </v>
      </c>
    </row>
    <row r="32" spans="1:11" x14ac:dyDescent="0.25">
      <c r="A32">
        <v>31</v>
      </c>
      <c r="H32">
        <f t="shared" si="0"/>
        <v>1</v>
      </c>
      <c r="I32">
        <f>IF(J32="","",SUMIF(Kundentabelle!K:K,Mitarbeiter!J:J,Kundentabelle!P:P))</f>
        <v>3.5</v>
      </c>
      <c r="J32" t="str">
        <f t="shared" si="1"/>
        <v xml:space="preserve"> </v>
      </c>
    </row>
    <row r="33" spans="1:10" x14ac:dyDescent="0.25">
      <c r="A33">
        <v>32</v>
      </c>
      <c r="H33">
        <f t="shared" si="0"/>
        <v>1</v>
      </c>
      <c r="I33">
        <f>IF(J33="","",SUMIF(Kundentabelle!K:K,Mitarbeiter!J:J,Kundentabelle!P:P))</f>
        <v>3.5</v>
      </c>
      <c r="J33" t="str">
        <f t="shared" si="1"/>
        <v xml:space="preserve"> </v>
      </c>
    </row>
    <row r="34" spans="1:10" x14ac:dyDescent="0.25">
      <c r="A34">
        <v>33</v>
      </c>
      <c r="H34">
        <f t="shared" si="0"/>
        <v>1</v>
      </c>
      <c r="I34">
        <f>IF(J34="","",SUMIF(Kundentabelle!K:K,Mitarbeiter!J:J,Kundentabelle!P:P))</f>
        <v>3.5</v>
      </c>
      <c r="J34" t="str">
        <f t="shared" si="1"/>
        <v xml:space="preserve"> </v>
      </c>
    </row>
    <row r="35" spans="1:10" x14ac:dyDescent="0.25">
      <c r="A35">
        <v>34</v>
      </c>
      <c r="H35">
        <f t="shared" si="0"/>
        <v>1</v>
      </c>
      <c r="I35">
        <f>IF(J35="","",SUMIF(Kundentabelle!K:K,Mitarbeiter!J:J,Kundentabelle!P:P))</f>
        <v>3.5</v>
      </c>
      <c r="J35" t="str">
        <f t="shared" si="1"/>
        <v xml:space="preserve"> </v>
      </c>
    </row>
  </sheetData>
  <hyperlinks>
    <hyperlink ref="K4" r:id="rId1" xr:uid="{C65DBDDA-9FB9-447B-A643-A160B384C24A}"/>
    <hyperlink ref="K3" r:id="rId2" xr:uid="{3253565D-E9D3-4FC7-9C85-4CE552C40106}"/>
    <hyperlink ref="K2" r:id="rId3" xr:uid="{E9A45FB9-C592-4E0D-97B2-429F0769B7A5}"/>
    <hyperlink ref="K6" r:id="rId4" xr:uid="{13529B78-D47E-4D02-B90B-7C3EE2E8D714}"/>
    <hyperlink ref="K7" r:id="rId5" xr:uid="{5884D755-AA89-479B-B9C1-51914E813957}"/>
    <hyperlink ref="K8" r:id="rId6" xr:uid="{6159B111-E59E-40E5-9016-E4B0DEECE4AA}"/>
    <hyperlink ref="K9" r:id="rId7" xr:uid="{CD938B1E-8E8F-48E6-BAFA-FD5D0F57FC0C}"/>
    <hyperlink ref="K10" r:id="rId8" xr:uid="{9E945192-CEF6-4971-B963-600A34C03DF3}"/>
    <hyperlink ref="K11" r:id="rId9" xr:uid="{90CE5FDF-6A4E-43C3-9717-CB081261DC0E}"/>
    <hyperlink ref="K12" r:id="rId10" xr:uid="{7114111E-7892-4944-A82D-C715897668EE}"/>
    <hyperlink ref="K13" r:id="rId11" xr:uid="{35E49A41-BB4F-4FF7-B641-21EA29CE7DCB}"/>
    <hyperlink ref="K14" r:id="rId12" xr:uid="{4A6312DC-94A6-489E-9F79-33518EE30CD9}"/>
    <hyperlink ref="K18" r:id="rId13" xr:uid="{4B64592E-B079-4CA1-B198-9DDEB807B929}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Kundentabelle</vt:lpstr>
      <vt:lpstr>Mitarbeiter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Kuplewatzky</dc:creator>
  <cp:lastModifiedBy>rene</cp:lastModifiedBy>
  <cp:lastPrinted>2023-02-07T15:16:07Z</cp:lastPrinted>
  <dcterms:created xsi:type="dcterms:W3CDTF">2023-01-06T10:13:19Z</dcterms:created>
  <dcterms:modified xsi:type="dcterms:W3CDTF">2023-02-14T20:34:44Z</dcterms:modified>
</cp:coreProperties>
</file>